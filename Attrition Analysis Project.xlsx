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noidainstituteofengtech-my.sharepoint.com/personal/0241mba073_niet_co_in/Documents/Desktop/UCG Net JRF/TCS Preparation/"/>
    </mc:Choice>
  </mc:AlternateContent>
  <xr:revisionPtr revIDLastSave="91" documentId="8_{35A51A9F-C164-5943-88E8-588C796C461E}" xr6:coauthVersionLast="47" xr6:coauthVersionMax="47" xr10:uidLastSave="{AB746AAA-CAE2-4F41-ADE2-FFB3AC9ACF4B}"/>
  <bookViews>
    <workbookView xWindow="-110" yWindow="-110" windowWidth="19420" windowHeight="10300" tabRatio="870" activeTab="4" xr2:uid="{F0691846-9EC9-4692-9DBE-9AC27AE81703}"/>
  </bookViews>
  <sheets>
    <sheet name="Jan-25" sheetId="1" r:id="rId1"/>
    <sheet name="Feb-25" sheetId="2" r:id="rId2"/>
    <sheet name="Mar-25" sheetId="3" r:id="rId3"/>
    <sheet name="Cleaned Data" sheetId="4" r:id="rId4"/>
    <sheet name="Univariate Analysis" sheetId="5" r:id="rId5"/>
    <sheet name="Bi-Variate Analysis" sheetId="6" r:id="rId6"/>
    <sheet name="Multivariate Analysis" sheetId="8" r:id="rId7"/>
    <sheet name="Univariate_Dashboard" sheetId="12" r:id="rId8"/>
    <sheet name="Bivariate_Dashboard" sheetId="13" r:id="rId9"/>
    <sheet name="Attrition Calculation" sheetId="11" r:id="rId10"/>
    <sheet name="Best Practices Comparison" sheetId="15" r:id="rId11"/>
  </sheets>
  <definedNames>
    <definedName name="_xlnm._FilterDatabase" localSheetId="3" hidden="1">'Cleaned Data'!$A$1:$H$131</definedName>
    <definedName name="_xlnm._FilterDatabase" localSheetId="1" hidden="1">'Feb-25'!$B$3:$S$3</definedName>
    <definedName name="_xlnm._FilterDatabase" localSheetId="0" hidden="1">'Jan-25'!$B$3:$S$3</definedName>
    <definedName name="_xlnm._FilterDatabase" localSheetId="2" hidden="1">'Mar-25'!$B$3:$S$44</definedName>
    <definedName name="Gender">#REF!</definedName>
    <definedName name="Qualification">#REF!</definedName>
  </definedNames>
  <calcPr calcId="191028" calcCompleted="0"/>
  <pivotCaches>
    <pivotCache cacheId="50" r:id="rId12"/>
    <pivotCache cacheId="74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1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2" i="4"/>
  <c r="C4" i="11" l="1"/>
  <c r="E4" i="11" s="1"/>
  <c r="C5" i="11"/>
  <c r="E5" i="11" s="1"/>
  <c r="C3" i="11"/>
  <c r="C6" i="11" s="1"/>
  <c r="E3" i="11" l="1"/>
  <c r="E6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 Abuzar</author>
  </authors>
  <commentList>
    <comment ref="B9" authorId="0" shapeId="0" xr:uid="{438A7A52-666A-42DE-9C70-F9B254DAF387}">
      <text>
        <r>
          <rPr>
            <b/>
            <sz val="9"/>
            <color indexed="81"/>
            <rFont val="Tahoma"/>
            <family val="2"/>
          </rPr>
          <t>Er Abuzar:</t>
        </r>
        <r>
          <rPr>
            <sz val="9"/>
            <color indexed="81"/>
            <rFont val="Tahoma"/>
            <family val="2"/>
          </rPr>
          <t xml:space="preserve">
Based on Internal data provided.</t>
        </r>
      </text>
    </comment>
  </commentList>
</comments>
</file>

<file path=xl/sharedStrings.xml><?xml version="1.0" encoding="utf-8"?>
<sst xmlns="http://schemas.openxmlformats.org/spreadsheetml/2006/main" count="2699" uniqueCount="851">
  <si>
    <t>Employee Code</t>
  </si>
  <si>
    <t>First Name</t>
  </si>
  <si>
    <t>Last Name</t>
  </si>
  <si>
    <t>Fathers Name</t>
  </si>
  <si>
    <t>Mobile No</t>
  </si>
  <si>
    <t>Gender</t>
  </si>
  <si>
    <t>Joining Date</t>
  </si>
  <si>
    <t>Designation For</t>
  </si>
  <si>
    <t>Contractor Name</t>
  </si>
  <si>
    <t>Termination Date</t>
  </si>
  <si>
    <t>Birthday</t>
  </si>
  <si>
    <t>Address Line1</t>
  </si>
  <si>
    <t>City Name</t>
  </si>
  <si>
    <t>Current Status</t>
  </si>
  <si>
    <t>Reason For Leaving</t>
  </si>
  <si>
    <t>Agree to work again</t>
  </si>
  <si>
    <t>Expected Rejoining</t>
  </si>
  <si>
    <t>M</t>
  </si>
  <si>
    <t>CL Labour</t>
  </si>
  <si>
    <t/>
  </si>
  <si>
    <t>3028</t>
  </si>
  <si>
    <t>REKHA</t>
  </si>
  <si>
    <t>DEVI</t>
  </si>
  <si>
    <t>VIRI SINGH</t>
  </si>
  <si>
    <t>8449987167</t>
  </si>
  <si>
    <t>F</t>
  </si>
  <si>
    <t>HARBIR SINGH CONTRACTOR</t>
  </si>
  <si>
    <t>Setupur bulandshar</t>
  </si>
  <si>
    <t>BULANDSHAHAR</t>
  </si>
  <si>
    <t>Not Connected</t>
  </si>
  <si>
    <t>-</t>
  </si>
  <si>
    <t>N-22</t>
  </si>
  <si>
    <t>KAMAL</t>
  </si>
  <si>
    <t>KUMAR</t>
  </si>
  <si>
    <t>SARVEHS KUMAR</t>
  </si>
  <si>
    <t>6396766694</t>
  </si>
  <si>
    <t>NAVARNA BHARAT</t>
  </si>
  <si>
    <t>MUGALPUR CHANDIKRA MAINPURI UP</t>
  </si>
  <si>
    <t>CHANDIKRA MAINPURI UP</t>
  </si>
  <si>
    <t>Not picking up the call.</t>
  </si>
  <si>
    <t>C-1431</t>
  </si>
  <si>
    <t>NEHA</t>
  </si>
  <si>
    <t>.</t>
  </si>
  <si>
    <t>RAMESH SINGH</t>
  </si>
  <si>
    <t>8750952688</t>
  </si>
  <si>
    <t>B4S SOLUTION PVT LTD</t>
  </si>
  <si>
    <t>UDAYPUR KANNNOJ UP</t>
  </si>
  <si>
    <t>KANNNOJ UP</t>
  </si>
  <si>
    <t>Not working anywhere Living in home town.</t>
  </si>
  <si>
    <t>Personal reasons</t>
  </si>
  <si>
    <t>Yes</t>
  </si>
  <si>
    <t>Can not say right now</t>
  </si>
  <si>
    <t>AR-835</t>
  </si>
  <si>
    <t>RAGHAVENDRA</t>
  </si>
  <si>
    <t>KUMAR.</t>
  </si>
  <si>
    <t>RAM PRAKASH</t>
  </si>
  <si>
    <t>8920595541</t>
  </si>
  <si>
    <t>ARMS NAPS</t>
  </si>
  <si>
    <t>SALEMPUR CHANDAULI</t>
  </si>
  <si>
    <t>CHANDAULI UP</t>
  </si>
  <si>
    <t>House construction</t>
  </si>
  <si>
    <t>June</t>
  </si>
  <si>
    <t>3232</t>
  </si>
  <si>
    <t>NIKKI</t>
  </si>
  <si>
    <t>DINESH</t>
  </si>
  <si>
    <t>8860995772</t>
  </si>
  <si>
    <t>Dist-Ballia, Vill-inamupir, Post- narhi, Thana Nagra</t>
  </si>
  <si>
    <t>NARHI</t>
  </si>
  <si>
    <t>No</t>
  </si>
  <si>
    <t>AR-804</t>
  </si>
  <si>
    <t>HARI</t>
  </si>
  <si>
    <t>GOVIND</t>
  </si>
  <si>
    <t>KANHAIA LAL</t>
  </si>
  <si>
    <t>7054299753</t>
  </si>
  <si>
    <t>PANCHALGHAT SOTA BAHADUPPUR FATEHGARJH FARUKHBAD UP</t>
  </si>
  <si>
    <t>FARUKHABAD UO</t>
  </si>
  <si>
    <t>Can not say right now.</t>
  </si>
  <si>
    <t>C-1449</t>
  </si>
  <si>
    <t>ANMOL</t>
  </si>
  <si>
    <t>NAHAR SINGH</t>
  </si>
  <si>
    <t>9369721028</t>
  </si>
  <si>
    <t>FARUKHABAD UP</t>
  </si>
  <si>
    <t>C-1453</t>
  </si>
  <si>
    <t>INDAL KUMAR</t>
  </si>
  <si>
    <t>SINGH</t>
  </si>
  <si>
    <t>SHESHNATH SINGH</t>
  </si>
  <si>
    <t>8766374407</t>
  </si>
  <si>
    <t>RAMGARH MAIMUR BIHAR</t>
  </si>
  <si>
    <t>BIHAR</t>
  </si>
  <si>
    <t>SN-349</t>
  </si>
  <si>
    <t>ANUJ KUMAR</t>
  </si>
  <si>
    <t>RAMBEER SINGH</t>
  </si>
  <si>
    <t>6397234184</t>
  </si>
  <si>
    <t>SANJEERA</t>
  </si>
  <si>
    <t>MAJRA NIRANJANPUR POST PUSGAWAN, PUSGAWAN, BUDAUN, U.P. 243639</t>
  </si>
  <si>
    <t>POST PUSGAWAN, PUSGAWAN</t>
  </si>
  <si>
    <t>Not satisfied with salary</t>
  </si>
  <si>
    <t>N-57</t>
  </si>
  <si>
    <t>HRIDYANARAYAN</t>
  </si>
  <si>
    <t>RAM CHANDRA</t>
  </si>
  <si>
    <t>6388389631</t>
  </si>
  <si>
    <t>PIRAS BIJPUR SONBHADRA UP</t>
  </si>
  <si>
    <t>SONBHADRA UP</t>
  </si>
  <si>
    <t>N-41</t>
  </si>
  <si>
    <t>MONU</t>
  </si>
  <si>
    <t>MANIRAM</t>
  </si>
  <si>
    <t>9044669561</t>
  </si>
  <si>
    <t>SAHARI SHAHJAHANPUR UP</t>
  </si>
  <si>
    <t>SHAHJAHANPUR UP</t>
  </si>
  <si>
    <t>SN-417</t>
  </si>
  <si>
    <t>SUNITA</t>
  </si>
  <si>
    <t>MAHESH SINGH</t>
  </si>
  <si>
    <t>9027306756</t>
  </si>
  <si>
    <t>VILLAGE BHIKANPUR, HOUSE NO 225, BHIKHANPUR, GAUTAM BUDDHA NAGAR U.P. 203203</t>
  </si>
  <si>
    <t>BHIKHANPUR</t>
  </si>
  <si>
    <t>Marriage</t>
  </si>
  <si>
    <t>AR-724</t>
  </si>
  <si>
    <t>MUDIT</t>
  </si>
  <si>
    <t>ARVIND KUMAR</t>
  </si>
  <si>
    <t>9569774538</t>
  </si>
  <si>
    <t>KUKUHAPUR KHERI UP</t>
  </si>
  <si>
    <t>SISNAUR</t>
  </si>
  <si>
    <t>C-1385</t>
  </si>
  <si>
    <t>AMRITA</t>
  </si>
  <si>
    <t>KUMARI</t>
  </si>
  <si>
    <t>VINOD DAS</t>
  </si>
  <si>
    <t>7091954303</t>
  </si>
  <si>
    <t>RANJITPUR SAMASTIPUR BIHAR</t>
  </si>
  <si>
    <t>SAMASTIPUR BIHAR</t>
  </si>
  <si>
    <t>C-1386</t>
  </si>
  <si>
    <t>GEETA</t>
  </si>
  <si>
    <t>BINOD DAS</t>
  </si>
  <si>
    <t>9341536351</t>
  </si>
  <si>
    <t>Exams</t>
  </si>
  <si>
    <t>3456</t>
  </si>
  <si>
    <t>KAMLESH</t>
  </si>
  <si>
    <t>CHANDRAPAL SINGH</t>
  </si>
  <si>
    <t>8393827168</t>
  </si>
  <si>
    <t>DAULATNAGAR BULANDSHAHR UP</t>
  </si>
  <si>
    <t>BULANDSHAHR UP</t>
  </si>
  <si>
    <t>3458</t>
  </si>
  <si>
    <t>SHIVANI</t>
  </si>
  <si>
    <t>OMKAR SINGH</t>
  </si>
  <si>
    <t>9105785435</t>
  </si>
  <si>
    <t>KATRA SAMAN MAINPUR UP</t>
  </si>
  <si>
    <t>KATRA SAMAN UP</t>
  </si>
  <si>
    <t>3470</t>
  </si>
  <si>
    <t>SHIVKANT</t>
  </si>
  <si>
    <t>GOPEE CHANDRA</t>
  </si>
  <si>
    <t>8273135941</t>
  </si>
  <si>
    <t>NAGLA MITKAR MAINPUR UP</t>
  </si>
  <si>
    <t>MAINPURI UP</t>
  </si>
  <si>
    <t>Working in other department, Store</t>
  </si>
  <si>
    <t>Alredy join</t>
  </si>
  <si>
    <t>SN-712</t>
  </si>
  <si>
    <t>SONI</t>
  </si>
  <si>
    <t>BABU RAM</t>
  </si>
  <si>
    <t>9569885033</t>
  </si>
  <si>
    <t>KANPUR DEHAT UP</t>
  </si>
  <si>
    <t>Number changed</t>
  </si>
  <si>
    <t>AR-851</t>
  </si>
  <si>
    <t>SHIVANSH</t>
  </si>
  <si>
    <t>MISHRA</t>
  </si>
  <si>
    <t>RAVINDRA MISHRA</t>
  </si>
  <si>
    <t>9958958840</t>
  </si>
  <si>
    <t>N-45</t>
  </si>
  <si>
    <t>VIMLESH</t>
  </si>
  <si>
    <t>RAJENDRA PRASAD</t>
  </si>
  <si>
    <t>8004864440</t>
  </si>
  <si>
    <t>BALAMAU KANNOJ UP</t>
  </si>
  <si>
    <t>KANNOJ</t>
  </si>
  <si>
    <t>N-48</t>
  </si>
  <si>
    <t>NAVEEN</t>
  </si>
  <si>
    <t>GHANSHYAM</t>
  </si>
  <si>
    <t>7818844151</t>
  </si>
  <si>
    <t>BRAHMPUR ATHROLI KANNOJ UP</t>
  </si>
  <si>
    <t>Better Opportunity</t>
  </si>
  <si>
    <t>N-50</t>
  </si>
  <si>
    <t>SHIV PRAKASH</t>
  </si>
  <si>
    <t>MAURYA</t>
  </si>
  <si>
    <t>SUBHASH MAURYA</t>
  </si>
  <si>
    <t>9794448029</t>
  </si>
  <si>
    <t>MEERAPUR BASI BHOJUVEER VARANASI UP</t>
  </si>
  <si>
    <t>VARANASI UP</t>
  </si>
  <si>
    <t>N-23</t>
  </si>
  <si>
    <t>AJAY KUMAR</t>
  </si>
  <si>
    <t>YADAV</t>
  </si>
  <si>
    <t>SARVJEET YADAV</t>
  </si>
  <si>
    <t>7392897821</t>
  </si>
  <si>
    <t>UTRIJPUR JAUNPUR UP</t>
  </si>
  <si>
    <t>UTAREJIPUR JAUNPUR UP</t>
  </si>
  <si>
    <t>SN-707</t>
  </si>
  <si>
    <t>PRIYANKA</t>
  </si>
  <si>
    <t>MAHENDRA SINGH</t>
  </si>
  <si>
    <t>9027564347</t>
  </si>
  <si>
    <t>FARIDABAD UP</t>
  </si>
  <si>
    <t>SN-716</t>
  </si>
  <si>
    <t>RAHUL</t>
  </si>
  <si>
    <t>DIWAKAR</t>
  </si>
  <si>
    <t>RAM KISHOR DIWAKAR</t>
  </si>
  <si>
    <t>8808658695</t>
  </si>
  <si>
    <t>KANPUR NAGAR UP</t>
  </si>
  <si>
    <t>AR-832</t>
  </si>
  <si>
    <t>PRATIGYA</t>
  </si>
  <si>
    <t>KALU RAM</t>
  </si>
  <si>
    <t>9648029394</t>
  </si>
  <si>
    <t>AMBEDKAR NAGAR UP</t>
  </si>
  <si>
    <t>C-1467</t>
  </si>
  <si>
    <t>ASHISH</t>
  </si>
  <si>
    <t>KAMLESH KUMAR</t>
  </si>
  <si>
    <t>7703861574</t>
  </si>
  <si>
    <t>KAKRAHI AURAIYA UP</t>
  </si>
  <si>
    <t>AURAIYA UP</t>
  </si>
  <si>
    <t>N-69</t>
  </si>
  <si>
    <t>MAHIMA</t>
  </si>
  <si>
    <t>SHUKHVEER SINGH</t>
  </si>
  <si>
    <t>7827074736</t>
  </si>
  <si>
    <t>KAMALPUR SAJAHANPUR UP</t>
  </si>
  <si>
    <t>SAHAJAHANPUR UP</t>
  </si>
  <si>
    <t>N-19</t>
  </si>
  <si>
    <t>HIMANSHU</t>
  </si>
  <si>
    <t>SALIK RAM</t>
  </si>
  <si>
    <t>9696756041</t>
  </si>
  <si>
    <t>CHHAWNI PAWAYAN SAHAJAHANPUR SAHAJAHANPUR UP</t>
  </si>
  <si>
    <t>AR-857</t>
  </si>
  <si>
    <t>JYOTI</t>
  </si>
  <si>
    <t>RAM SOCH</t>
  </si>
  <si>
    <t>8933828093</t>
  </si>
  <si>
    <t>GHAZIPUR UP</t>
  </si>
  <si>
    <t>3501</t>
  </si>
  <si>
    <t>ROHIT</t>
  </si>
  <si>
    <t>HAKIM SINGH</t>
  </si>
  <si>
    <t>9058710157</t>
  </si>
  <si>
    <t>JARAKHI TUNDLA FIROZABAD UP</t>
  </si>
  <si>
    <t>FIROZABAD</t>
  </si>
  <si>
    <t>3513</t>
  </si>
  <si>
    <t>RAHUL KUMAR</t>
  </si>
  <si>
    <t>PASWAN</t>
  </si>
  <si>
    <t>PRAMOD PASWAN</t>
  </si>
  <si>
    <t>8102570518</t>
  </si>
  <si>
    <t>YADDUPIPARA DARBANGA BIHAR</t>
  </si>
  <si>
    <t>AR-854</t>
  </si>
  <si>
    <t>RAKESH</t>
  </si>
  <si>
    <t>PANCHAM</t>
  </si>
  <si>
    <t>8527868094</t>
  </si>
  <si>
    <t>GOKUL HARDOI UP</t>
  </si>
  <si>
    <t>HARDOI UP</t>
  </si>
  <si>
    <t>N-92</t>
  </si>
  <si>
    <t>MOHIT</t>
  </si>
  <si>
    <t>SAINI</t>
  </si>
  <si>
    <t>SURAJ SAINI</t>
  </si>
  <si>
    <t>9084643202</t>
  </si>
  <si>
    <t>GATE KALI ALIGAHR UP</t>
  </si>
  <si>
    <t>ALIGARH UP</t>
  </si>
  <si>
    <t>3509</t>
  </si>
  <si>
    <t>ABHISHEK</t>
  </si>
  <si>
    <t>JASAWANT SINGH</t>
  </si>
  <si>
    <t>9457865125</t>
  </si>
  <si>
    <t>LAKHORE ETAWAH UP</t>
  </si>
  <si>
    <t>ETAWAH UP</t>
  </si>
  <si>
    <t>3505</t>
  </si>
  <si>
    <t>RUPESH</t>
  </si>
  <si>
    <t>AJEET SINGH</t>
  </si>
  <si>
    <t>8707494073</t>
  </si>
  <si>
    <t>KATRA SAHAJAHANPUR UP</t>
  </si>
  <si>
    <t>SAHAJANPUR UP</t>
  </si>
  <si>
    <t>SN-735</t>
  </si>
  <si>
    <t>RAM PRASAD</t>
  </si>
  <si>
    <t>RAJENDRA YADAV</t>
  </si>
  <si>
    <t>9867163506</t>
  </si>
  <si>
    <t>GRAM BHITRI AZAMGARH UP</t>
  </si>
  <si>
    <t>AZAMGARH UP</t>
  </si>
  <si>
    <t>SN-738</t>
  </si>
  <si>
    <t>SHARMA</t>
  </si>
  <si>
    <t>KAMAL KANT</t>
  </si>
  <si>
    <t>8273295139</t>
  </si>
  <si>
    <t>NAGLA VEJIYA HATRAS UP</t>
  </si>
  <si>
    <t>HATRAS UP</t>
  </si>
  <si>
    <t>Working in other company</t>
  </si>
  <si>
    <t>N-119</t>
  </si>
  <si>
    <t>ANAND</t>
  </si>
  <si>
    <t>PRAKASH YADAV</t>
  </si>
  <si>
    <t>BABU RAM YADAV</t>
  </si>
  <si>
    <t>6389606969</t>
  </si>
  <si>
    <t>MURKATIYA ADIYAR JAUNPUR UP</t>
  </si>
  <si>
    <t>JAUNPUR UP</t>
  </si>
  <si>
    <t>C-1425</t>
  </si>
  <si>
    <t>VIKAS</t>
  </si>
  <si>
    <t>AYODHYA ROY</t>
  </si>
  <si>
    <t>9123182339</t>
  </si>
  <si>
    <t>AMETHI ROHTAS BIHAR</t>
  </si>
  <si>
    <t>N-117</t>
  </si>
  <si>
    <t>ANNU</t>
  </si>
  <si>
    <t>PRAJAPATI</t>
  </si>
  <si>
    <t>BIRBALI PRAJAPATI</t>
  </si>
  <si>
    <t>9956502798</t>
  </si>
  <si>
    <t>SIRWANI KANCHANPUR DEORIA UP</t>
  </si>
  <si>
    <t>DEORIA UP</t>
  </si>
  <si>
    <t>Working in the home town</t>
  </si>
  <si>
    <t>SN-496</t>
  </si>
  <si>
    <t>VED MITRA</t>
  </si>
  <si>
    <t>JAGDEV PRASAD</t>
  </si>
  <si>
    <t>8423372379</t>
  </si>
  <si>
    <t>PIPRA SIWAN, PIPRA NARYAN BIHAR, 841506</t>
  </si>
  <si>
    <t>3354</t>
  </si>
  <si>
    <t>AJAY</t>
  </si>
  <si>
    <t>OMVEER SINGH</t>
  </si>
  <si>
    <t>8750938485</t>
  </si>
  <si>
    <t>Aligarh</t>
  </si>
  <si>
    <t>ALIGARH</t>
  </si>
  <si>
    <t>SN-69</t>
  </si>
  <si>
    <t>MANJU</t>
  </si>
  <si>
    <t>SHRINIVASH</t>
  </si>
  <si>
    <t>6395471364</t>
  </si>
  <si>
    <t>BLUA TAPPA KATHAUT HARIHARPUR, HARIHARPUR, GHAZIPUR, U.P. 233227</t>
  </si>
  <si>
    <t>KATHAUT HARIHARPUR, HARIHARPUR</t>
  </si>
  <si>
    <t>C-948</t>
  </si>
  <si>
    <t>ARTI</t>
  </si>
  <si>
    <t>RAGHAV</t>
  </si>
  <si>
    <t>ANKUSH</t>
  </si>
  <si>
    <t>9012521426</t>
  </si>
  <si>
    <t>V+PO- NAGALIYA UDAYBHAN BULANDSHAHR</t>
  </si>
  <si>
    <t>BULANDSHAHR</t>
  </si>
  <si>
    <t>2994</t>
  </si>
  <si>
    <t>Sumit</t>
  </si>
  <si>
    <t>Kumar</t>
  </si>
  <si>
    <t>Shankar Lal</t>
  </si>
  <si>
    <t>9315444505</t>
  </si>
  <si>
    <t>3350</t>
  </si>
  <si>
    <t>ALKA</t>
  </si>
  <si>
    <t>PRABHASH THAKUR</t>
  </si>
  <si>
    <t>9263915702</t>
  </si>
  <si>
    <t>Bihar 504101</t>
  </si>
  <si>
    <t>SN-452</t>
  </si>
  <si>
    <t>MANVEER SINGH</t>
  </si>
  <si>
    <t>6396597633</t>
  </si>
  <si>
    <t>SAHAR BULANDSHAHR, U. P. 202397</t>
  </si>
  <si>
    <t>BULANDSHAR</t>
  </si>
  <si>
    <t>N-21</t>
  </si>
  <si>
    <t>TRIVEDI</t>
  </si>
  <si>
    <t>SARVESH</t>
  </si>
  <si>
    <t>6306364430</t>
  </si>
  <si>
    <t>NAHIL PAWAYAN SHAHJAHANPUR UP</t>
  </si>
  <si>
    <t>AR-822</t>
  </si>
  <si>
    <t>LALLU</t>
  </si>
  <si>
    <t>8929414544</t>
  </si>
  <si>
    <t>TATIYAGANJ MANDHANA KANPUR NAGAR UP</t>
  </si>
  <si>
    <t>SN-673</t>
  </si>
  <si>
    <t>KASHYAP</t>
  </si>
  <si>
    <t>ROSHAN</t>
  </si>
  <si>
    <t>7055090287</t>
  </si>
  <si>
    <t>BULANSHAHAR UP</t>
  </si>
  <si>
    <t>Health Issues</t>
  </si>
  <si>
    <t>SN-691</t>
  </si>
  <si>
    <t>PAWANESH</t>
  </si>
  <si>
    <t>MAHENDRA</t>
  </si>
  <si>
    <t>8383909088</t>
  </si>
  <si>
    <t>MAU UP</t>
  </si>
  <si>
    <t>SN-342</t>
  </si>
  <si>
    <t>SACHIN</t>
  </si>
  <si>
    <t>ASTHANA</t>
  </si>
  <si>
    <t>JITENDRALAL ASTHANA</t>
  </si>
  <si>
    <t>7860194773</t>
  </si>
  <si>
    <t>5 KHARSAHAN KHURD KHARSAHAN KHURD, AZAMGARH, U.P. 223224</t>
  </si>
  <si>
    <t>AGRAH</t>
  </si>
  <si>
    <t>N-38</t>
  </si>
  <si>
    <t>AKASH</t>
  </si>
  <si>
    <t>DEENDAYAL SINGH</t>
  </si>
  <si>
    <t>9625729278</t>
  </si>
  <si>
    <t>C-1196</t>
  </si>
  <si>
    <t>KM KRISHNA</t>
  </si>
  <si>
    <t>GHANENDRA SINGH</t>
  </si>
  <si>
    <t>7505443092</t>
  </si>
  <si>
    <t>V+PO- BHOJPUR TA LOHGARH ALIGARH</t>
  </si>
  <si>
    <t>C-1236</t>
  </si>
  <si>
    <t>SALONI</t>
  </si>
  <si>
    <t>RAJPOOT</t>
  </si>
  <si>
    <t>PREM SAGAR RAJPOOT</t>
  </si>
  <si>
    <t>9838336729</t>
  </si>
  <si>
    <t>V+PO- NEAR BADI BISRAT MOHLLA ROSHANGANJ SHAHJAHANPUR</t>
  </si>
  <si>
    <t>SHAHJAHANPUR</t>
  </si>
  <si>
    <t>3399</t>
  </si>
  <si>
    <t>SONY</t>
  </si>
  <si>
    <t>HARI NARAYAN BHAGAT</t>
  </si>
  <si>
    <t>9905631738</t>
  </si>
  <si>
    <t>SURAJPUR</t>
  </si>
  <si>
    <t>GREATER NOIDA</t>
  </si>
  <si>
    <t>SN-602</t>
  </si>
  <si>
    <t>VINITA</t>
  </si>
  <si>
    <t>UMA SHANKAR</t>
  </si>
  <si>
    <t>7518930457</t>
  </si>
  <si>
    <t>TARHAR ALLAHABAD UP</t>
  </si>
  <si>
    <t>3416</t>
  </si>
  <si>
    <t>RAJESH KUMAR</t>
  </si>
  <si>
    <t>RAM</t>
  </si>
  <si>
    <t>KANHAIYA RAM</t>
  </si>
  <si>
    <t>9473728483</t>
  </si>
  <si>
    <t>VILL-GONHIYA</t>
  </si>
  <si>
    <t>CHHAPRA</t>
  </si>
  <si>
    <t>Working in other department, IPD</t>
  </si>
  <si>
    <t>3450</t>
  </si>
  <si>
    <t>SHASHI</t>
  </si>
  <si>
    <t>KUMARI.</t>
  </si>
  <si>
    <t>BHUDEV SINGH</t>
  </si>
  <si>
    <t>8630262281</t>
  </si>
  <si>
    <t>MAUNAGALA NARORA KHADER BULANDSHAR UP</t>
  </si>
  <si>
    <t>3461</t>
  </si>
  <si>
    <t>RUPESH KUMAR</t>
  </si>
  <si>
    <t>SAH</t>
  </si>
  <si>
    <t>KANHAIYA SAH</t>
  </si>
  <si>
    <t>9628958696</t>
  </si>
  <si>
    <t>GONNIYA CHAPRA BALIA UP</t>
  </si>
  <si>
    <t>CHAPRA BALIYA</t>
  </si>
  <si>
    <t>July</t>
  </si>
  <si>
    <t>SN-713</t>
  </si>
  <si>
    <t>SHIV</t>
  </si>
  <si>
    <t>LAL</t>
  </si>
  <si>
    <t>RAMSWAROOP</t>
  </si>
  <si>
    <t>9193298398</t>
  </si>
  <si>
    <t>BISAULI BADUN UP</t>
  </si>
  <si>
    <t>BADUN UP</t>
  </si>
  <si>
    <t>AR-850</t>
  </si>
  <si>
    <t>GUDIYA</t>
  </si>
  <si>
    <t>RAJESH</t>
  </si>
  <si>
    <t>9761940035</t>
  </si>
  <si>
    <t>MAHARAJPUR AGRA UP</t>
  </si>
  <si>
    <t>AGRA UP</t>
  </si>
  <si>
    <t>Working in other company, BHIMTECH</t>
  </si>
  <si>
    <t>SN-714</t>
  </si>
  <si>
    <t>POOJA</t>
  </si>
  <si>
    <t>OM PRAKASH</t>
  </si>
  <si>
    <t>8057303782</t>
  </si>
  <si>
    <t>3494</t>
  </si>
  <si>
    <t>PRASHANT</t>
  </si>
  <si>
    <t>RAJU SINGH</t>
  </si>
  <si>
    <t>8650101632</t>
  </si>
  <si>
    <t>AURANGABAD BULANDSHAHR UP</t>
  </si>
  <si>
    <t>AR-845</t>
  </si>
  <si>
    <t>RADHA MOHAN</t>
  </si>
  <si>
    <t>8987502712</t>
  </si>
  <si>
    <t>NAGLA CHUNNI PALI KHRD ETAWAH UP</t>
  </si>
  <si>
    <t>AR-821</t>
  </si>
  <si>
    <t>RICHA</t>
  </si>
  <si>
    <t>KATARIYA</t>
  </si>
  <si>
    <t>8700137703</t>
  </si>
  <si>
    <t xml:space="preserve"> MAHARAJPUR </t>
  </si>
  <si>
    <t>C-1466</t>
  </si>
  <si>
    <t>DHARMVEER</t>
  </si>
  <si>
    <t>UDAY PAL SINGH</t>
  </si>
  <si>
    <t>9536667601</t>
  </si>
  <si>
    <t>RAJUA ETAH UP</t>
  </si>
  <si>
    <t>ETAH UP</t>
  </si>
  <si>
    <t>SN-720</t>
  </si>
  <si>
    <t>SIKHA</t>
  </si>
  <si>
    <t>JAISHWAL</t>
  </si>
  <si>
    <t>RMASHANKAR JAISHWAL</t>
  </si>
  <si>
    <t>6306758379</t>
  </si>
  <si>
    <t>DEOIRIA UP</t>
  </si>
  <si>
    <t>N-79</t>
  </si>
  <si>
    <t>LALVATI</t>
  </si>
  <si>
    <t>HARI KISHOR PATEL</t>
  </si>
  <si>
    <t>9354833801</t>
  </si>
  <si>
    <t>RASULPUR MAJARGANJ BIHAR</t>
  </si>
  <si>
    <t>N-68</t>
  </si>
  <si>
    <t>SANJAY</t>
  </si>
  <si>
    <t>PRAVEEN KUMAR</t>
  </si>
  <si>
    <t>9119768513</t>
  </si>
  <si>
    <t>BARHAT RAKRI MAINPURI UP</t>
  </si>
  <si>
    <t>AR-856</t>
  </si>
  <si>
    <t>ASHU</t>
  </si>
  <si>
    <t>BHADOURIYA</t>
  </si>
  <si>
    <t>GANGA SINGH</t>
  </si>
  <si>
    <t>9713403047</t>
  </si>
  <si>
    <t>BHIND MADHYA PRADESH</t>
  </si>
  <si>
    <t xml:space="preserve">MADHYA PRADESH </t>
  </si>
  <si>
    <t>3514</t>
  </si>
  <si>
    <t>KAJAL</t>
  </si>
  <si>
    <t>SANTOSH KUMAR</t>
  </si>
  <si>
    <t>7668543971</t>
  </si>
  <si>
    <t>JAGARNATHPUR AURAIYA UP</t>
  </si>
  <si>
    <t>3511</t>
  </si>
  <si>
    <t>SAJJAN LAL</t>
  </si>
  <si>
    <t>8934988591</t>
  </si>
  <si>
    <t>KANPUR NAGR SHEORAJPUR UP</t>
  </si>
  <si>
    <t>SN-737</t>
  </si>
  <si>
    <t>RANJEET SINGH</t>
  </si>
  <si>
    <t>8534038544</t>
  </si>
  <si>
    <t>VICHIYTA BIKRAMPUR MAINPURI</t>
  </si>
  <si>
    <t>AR-861</t>
  </si>
  <si>
    <t>KAMINI</t>
  </si>
  <si>
    <t>FUL SINGH</t>
  </si>
  <si>
    <t>8445037274</t>
  </si>
  <si>
    <t>BASATH PREMPUR RAIPUR FIROZABAD UP</t>
  </si>
  <si>
    <t>FIROZABAD UP</t>
  </si>
  <si>
    <t>3517</t>
  </si>
  <si>
    <t>RAMESHCHANDRA</t>
  </si>
  <si>
    <t>9761153969</t>
  </si>
  <si>
    <t>JAGDISHPUR AURANGABAD UP</t>
  </si>
  <si>
    <t>AURANGABAD UP</t>
  </si>
  <si>
    <t>AR-859</t>
  </si>
  <si>
    <t>BIRENDRA</t>
  </si>
  <si>
    <t>LALMOHAR TANTI</t>
  </si>
  <si>
    <t>9006198465</t>
  </si>
  <si>
    <t>DHARMPURA MAJRAH ROHTAS BIHAR</t>
  </si>
  <si>
    <t xml:space="preserve">BIHAR </t>
  </si>
  <si>
    <t>AR-860</t>
  </si>
  <si>
    <t>PRINCE</t>
  </si>
  <si>
    <t>TEJNARAYAN RAY</t>
  </si>
  <si>
    <t>7654877736</t>
  </si>
  <si>
    <t>DHARMPURA MUJARADH ROHTAS BIHAR</t>
  </si>
  <si>
    <t>3527</t>
  </si>
  <si>
    <t>KM JYOTI</t>
  </si>
  <si>
    <t>SUKHRAM</t>
  </si>
  <si>
    <t>9654210094</t>
  </si>
  <si>
    <t>MUBARIKPUR ETAH UP</t>
  </si>
  <si>
    <t>N-104</t>
  </si>
  <si>
    <t>STYADEV MISHRA</t>
  </si>
  <si>
    <t>7037995139</t>
  </si>
  <si>
    <t>GRAM LADHAULI KASHGANJ UP</t>
  </si>
  <si>
    <t>KASHGANJ UP</t>
  </si>
  <si>
    <t>C-1485</t>
  </si>
  <si>
    <t>ANSHUL</t>
  </si>
  <si>
    <t>VEERENDRA SINGH</t>
  </si>
  <si>
    <t>6398191864</t>
  </si>
  <si>
    <t>MUHASHI MUNJ ETAWAH UP</t>
  </si>
  <si>
    <t>SN-731</t>
  </si>
  <si>
    <t>BRIJESH</t>
  </si>
  <si>
    <t>SHYAM LAL</t>
  </si>
  <si>
    <t>8858177877</t>
  </si>
  <si>
    <t>PARASIYA RUPPUR BALIA UP</t>
  </si>
  <si>
    <t>BALIA UP</t>
  </si>
  <si>
    <t>N-118</t>
  </si>
  <si>
    <t>SUGREEV</t>
  </si>
  <si>
    <t>7830025234</t>
  </si>
  <si>
    <t>GRAM KATROWA DALFAT BASTI</t>
  </si>
  <si>
    <t>BASTI UP</t>
  </si>
  <si>
    <t>3529</t>
  </si>
  <si>
    <t>ARVIND</t>
  </si>
  <si>
    <t>RAJVEER SINGH</t>
  </si>
  <si>
    <t>9758706822</t>
  </si>
  <si>
    <t>DHENKURA ALIGARH UP</t>
  </si>
  <si>
    <t>C-1501</t>
  </si>
  <si>
    <t>8368444715</t>
  </si>
  <si>
    <t>ASROLI SIKARPUR BULANDSHAHR UP</t>
  </si>
  <si>
    <t>BULANDSAHAR UP</t>
  </si>
  <si>
    <t>SN-747</t>
  </si>
  <si>
    <t>AVNEESH</t>
  </si>
  <si>
    <t>RAM SANE LAL</t>
  </si>
  <si>
    <t>9634461386</t>
  </si>
  <si>
    <t>UDDAITAPUR KANNOJ UP</t>
  </si>
  <si>
    <t>N-89</t>
  </si>
  <si>
    <t>DHIRAJ</t>
  </si>
  <si>
    <t>RAM DHANI</t>
  </si>
  <si>
    <t>9005265408</t>
  </si>
  <si>
    <t>JANGI PUR SHAJAHANPUR UP</t>
  </si>
  <si>
    <t>SHAJAHANPUR UP</t>
  </si>
  <si>
    <t>Absconded</t>
  </si>
  <si>
    <t>Higher education</t>
  </si>
  <si>
    <t>Self Employeed</t>
  </si>
  <si>
    <t xml:space="preserve">No </t>
  </si>
  <si>
    <t xml:space="preserve">Working in other company </t>
  </si>
  <si>
    <t>Salary hold issue</t>
  </si>
  <si>
    <t>C-861</t>
  </si>
  <si>
    <t>Keshav</t>
  </si>
  <si>
    <t>Dev</t>
  </si>
  <si>
    <t>Jay Singh</t>
  </si>
  <si>
    <t>9639425437</t>
  </si>
  <si>
    <t>V+PO-RAMGHAT BANGAR GANGAGARH BULANDSHAHR</t>
  </si>
  <si>
    <t>C-1096</t>
  </si>
  <si>
    <t>ALAMGIR</t>
  </si>
  <si>
    <t>MIYAN</t>
  </si>
  <si>
    <t>MITHU MIYAN</t>
  </si>
  <si>
    <t>7250398780</t>
  </si>
  <si>
    <t>V+PO-DHARAMPURA MUJRADH NOKHA ROKHA</t>
  </si>
  <si>
    <t>ROHTASH</t>
  </si>
  <si>
    <t>SN-662</t>
  </si>
  <si>
    <t>RAJPUT</t>
  </si>
  <si>
    <t>PREM SAGAR</t>
  </si>
  <si>
    <t>9936087066</t>
  </si>
  <si>
    <t>3344</t>
  </si>
  <si>
    <t>GAYASUDDIN</t>
  </si>
  <si>
    <t>MANSURI</t>
  </si>
  <si>
    <t>MOSTKIM MANSURI</t>
  </si>
  <si>
    <t>8651582997</t>
  </si>
  <si>
    <t>VILLAGE DHARMPURA POST MUJRADH THANA NOKHA  ROHTAS BIHAR</t>
  </si>
  <si>
    <t>ROHTAS BIHAR</t>
  </si>
  <si>
    <t>Working in other department, WHD</t>
  </si>
  <si>
    <t>N-29</t>
  </si>
  <si>
    <t>SAURABH</t>
  </si>
  <si>
    <t>HARENDRA PRASAD YADAV</t>
  </si>
  <si>
    <t>7080018071</t>
  </si>
  <si>
    <t xml:space="preserve">SUJIYA MAU JAUNPUR </t>
  </si>
  <si>
    <t>MAU JAUNPUR UP</t>
  </si>
  <si>
    <t>N-55</t>
  </si>
  <si>
    <t>SAMAR SINGH</t>
  </si>
  <si>
    <t>6395462968</t>
  </si>
  <si>
    <t>BUDAUN UP</t>
  </si>
  <si>
    <t>C-921</t>
  </si>
  <si>
    <t>AJAB SINGH</t>
  </si>
  <si>
    <t>9667536520</t>
  </si>
  <si>
    <t>V+PO- VIJAY NAGALIYA BULANDSHAHR</t>
  </si>
  <si>
    <t>SN-435</t>
  </si>
  <si>
    <t>VEERESH</t>
  </si>
  <si>
    <t>RAKESH KUMAR</t>
  </si>
  <si>
    <t>9027900633</t>
  </si>
  <si>
    <t>56, VILLAGE KUVATGANJ, MAREHRA, MAREHARA, ETAH, MAREHARA, U.P. 207401</t>
  </si>
  <si>
    <t>MAREHRA</t>
  </si>
  <si>
    <t>3326</t>
  </si>
  <si>
    <t>IJRAIL</t>
  </si>
  <si>
    <t>SALMA KHATUN</t>
  </si>
  <si>
    <t>ISMAIL MANSURI</t>
  </si>
  <si>
    <t>9939711424</t>
  </si>
  <si>
    <t>C-1248</t>
  </si>
  <si>
    <t>MUKESH</t>
  </si>
  <si>
    <t>NETRAPAL SINGH</t>
  </si>
  <si>
    <t>8126438927</t>
  </si>
  <si>
    <t>V+PO- CHULHAOLI FIROZABAD CHULHAWALI UP</t>
  </si>
  <si>
    <t>SN-535</t>
  </si>
  <si>
    <t>SANJANA</t>
  </si>
  <si>
    <t>DHARMENDRA SINGH</t>
  </si>
  <si>
    <t>9389184478</t>
  </si>
  <si>
    <t>HERAPUR, POST NAYA GAON, DISTRICT BULANDSHAHR, U.P. 203001</t>
  </si>
  <si>
    <t>NAYA GAON</t>
  </si>
  <si>
    <t>SN-609</t>
  </si>
  <si>
    <t>KUMARI SAVITA</t>
  </si>
  <si>
    <t>BALIRAM KUSHWAHA</t>
  </si>
  <si>
    <t>9326334275</t>
  </si>
  <si>
    <t>MADDHUPUR BEWADA CHANDAULI UP</t>
  </si>
  <si>
    <t>TORWAN CHANDAULI UP</t>
  </si>
  <si>
    <t>C-1411</t>
  </si>
  <si>
    <t>ANIL</t>
  </si>
  <si>
    <t>RAM SINGHASAN</t>
  </si>
  <si>
    <t>9005168626</t>
  </si>
  <si>
    <t>NAKHA GHAT SUABOJ KHERI UP</t>
  </si>
  <si>
    <t>SUABOJ KHERI UP</t>
  </si>
  <si>
    <t>C-1456</t>
  </si>
  <si>
    <t>ANKIT</t>
  </si>
  <si>
    <t>MAHAVEER SINGH</t>
  </si>
  <si>
    <t>8650199952</t>
  </si>
  <si>
    <t>JALALPUR BHANGRA ALIGARH UP</t>
  </si>
  <si>
    <t>C-1457</t>
  </si>
  <si>
    <t>AMAN</t>
  </si>
  <si>
    <t>HARIOM</t>
  </si>
  <si>
    <t>9528548781</t>
  </si>
  <si>
    <t>GRAM SABALPUR RAMPURA PURANPUR PILIBHIT</t>
  </si>
  <si>
    <t>PILIBHIT UP</t>
  </si>
  <si>
    <t>SN-665</t>
  </si>
  <si>
    <t>MANEEESHA</t>
  </si>
  <si>
    <t>SHANKAR</t>
  </si>
  <si>
    <t>8802152739</t>
  </si>
  <si>
    <t>KHERI SAPURNAGAR UP</t>
  </si>
  <si>
    <t>KHERI UP</t>
  </si>
  <si>
    <t>N-59</t>
  </si>
  <si>
    <t>VIKRAM</t>
  </si>
  <si>
    <t>SONKAR</t>
  </si>
  <si>
    <t>ARJUN SONKAR</t>
  </si>
  <si>
    <t>7080457615</t>
  </si>
  <si>
    <t>TARVI JAUNPUR UP</t>
  </si>
  <si>
    <t>Contractor behaviour was not good</t>
  </si>
  <si>
    <t>C-1470</t>
  </si>
  <si>
    <t>RISHIKESH</t>
  </si>
  <si>
    <t>MAHESH THAKUR</t>
  </si>
  <si>
    <t>7654692279</t>
  </si>
  <si>
    <t>MADHOPUR NARHAN SAMASTIPUR BIHAR</t>
  </si>
  <si>
    <t>SN-725</t>
  </si>
  <si>
    <t>OMVEER</t>
  </si>
  <si>
    <t>LAXMAN SINGH</t>
  </si>
  <si>
    <t>9389132571</t>
  </si>
  <si>
    <t>3508</t>
  </si>
  <si>
    <t>SURAJ</t>
  </si>
  <si>
    <t>MADAN LAL</t>
  </si>
  <si>
    <t>8368934194</t>
  </si>
  <si>
    <t>PAINA BUJURG SAHAJAHANPUR UP</t>
  </si>
  <si>
    <t>3506</t>
  </si>
  <si>
    <t>PRAMOD KUMAR</t>
  </si>
  <si>
    <t>8077648140</t>
  </si>
  <si>
    <t>VIKASH COLONY BIJNOR UP</t>
  </si>
  <si>
    <t>BIJNOR UP</t>
  </si>
  <si>
    <t>AR-865</t>
  </si>
  <si>
    <t>PRIYA</t>
  </si>
  <si>
    <t>KHARWAR</t>
  </si>
  <si>
    <t>GOPAL KHARAWAR</t>
  </si>
  <si>
    <t>9580711128</t>
  </si>
  <si>
    <t>GRAM MEHAN POST GOURA DEORIA UP</t>
  </si>
  <si>
    <t>N-99</t>
  </si>
  <si>
    <t>AVDEHS</t>
  </si>
  <si>
    <t>SAMAR BAHADUR</t>
  </si>
  <si>
    <t>9151488329</t>
  </si>
  <si>
    <t>KHUSU PUR BAKSHA JAUNPUR UP</t>
  </si>
  <si>
    <t>SN-734</t>
  </si>
  <si>
    <t>GUNJAN</t>
  </si>
  <si>
    <t>MUNISH KUMAR</t>
  </si>
  <si>
    <t>8954025314</t>
  </si>
  <si>
    <t>SABZI MANDI SIYANA  BULANDSHAHR UP</t>
  </si>
  <si>
    <t>C-1482</t>
  </si>
  <si>
    <t xml:space="preserve">OM PRAKASH </t>
  </si>
  <si>
    <t>RAJA RAM YADAV</t>
  </si>
  <si>
    <t>7783850696</t>
  </si>
  <si>
    <t>RONIA KHERA GYA BIHAR</t>
  </si>
  <si>
    <t>C-1429</t>
  </si>
  <si>
    <t>KRISHNA</t>
  </si>
  <si>
    <t>BIJENDRA SINGH</t>
  </si>
  <si>
    <t>8954977873</t>
  </si>
  <si>
    <t>PURALA BHATWARA BULANDSAHAR UP</t>
  </si>
  <si>
    <t>BULANDSHAHAR UP</t>
  </si>
  <si>
    <t>N-116</t>
  </si>
  <si>
    <t>SHOBHA</t>
  </si>
  <si>
    <t>VISHWAKARMA</t>
  </si>
  <si>
    <t>GULAB VISHWAKARMA</t>
  </si>
  <si>
    <t>9260970944</t>
  </si>
  <si>
    <t>BAGHA PARNA POST RAORI RAMKOLA KUSHINAGAR UP</t>
  </si>
  <si>
    <t>KUSHINAGAR UP</t>
  </si>
  <si>
    <t>C-1497</t>
  </si>
  <si>
    <t>DINESH KUMAR</t>
  </si>
  <si>
    <t>BABBAN MISHRA</t>
  </si>
  <si>
    <t>9990582514</t>
  </si>
  <si>
    <t>DULHAPUR SULTANPUR UP 222302</t>
  </si>
  <si>
    <t>SULTANPUR</t>
  </si>
  <si>
    <t>SN-748</t>
  </si>
  <si>
    <t>DHARMENDRA KUMAR</t>
  </si>
  <si>
    <t>SURESH LAL SHRIVASTAVA</t>
  </si>
  <si>
    <t>7348460213</t>
  </si>
  <si>
    <t>MAHUI DEORIA SAMOGAR UP</t>
  </si>
  <si>
    <t>N-125</t>
  </si>
  <si>
    <t>VIJAY</t>
  </si>
  <si>
    <t>DEENA NATH</t>
  </si>
  <si>
    <t>8858040443</t>
  </si>
  <si>
    <t>PIRIYA KAPTAN AURANGABAD UP</t>
  </si>
  <si>
    <t>AURNGABAD UP</t>
  </si>
  <si>
    <t>N-126</t>
  </si>
  <si>
    <t>NIRAJ</t>
  </si>
  <si>
    <t>LAL CHAND YADAV</t>
  </si>
  <si>
    <t>7268003767</t>
  </si>
  <si>
    <t>ADAMPUR POST HINDI BAGELA JAUNPUR UP</t>
  </si>
  <si>
    <t>N-141</t>
  </si>
  <si>
    <t>NIKITA</t>
  </si>
  <si>
    <t>7388383190</t>
  </si>
  <si>
    <t>SIJWAHA MAHUWA UP</t>
  </si>
  <si>
    <t>MAHUWA UP</t>
  </si>
  <si>
    <t>AR-888</t>
  </si>
  <si>
    <t>SANTI</t>
  </si>
  <si>
    <t>SANDEEP SAINI</t>
  </si>
  <si>
    <t>9220432673</t>
  </si>
  <si>
    <t>DEHRADUN UK</t>
  </si>
  <si>
    <t>AR-898</t>
  </si>
  <si>
    <t>VINDO GUPTA</t>
  </si>
  <si>
    <t>8860313566</t>
  </si>
  <si>
    <t>PATPAD GANJ EAST DELHI</t>
  </si>
  <si>
    <t>DELHI</t>
  </si>
  <si>
    <t>AR-899</t>
  </si>
  <si>
    <t>MOOL CHAND SINGH</t>
  </si>
  <si>
    <t>9811522857</t>
  </si>
  <si>
    <t>GHASIPUR KAUSHBI UP</t>
  </si>
  <si>
    <t>KAUSAMBHI UP</t>
  </si>
  <si>
    <t>3535</t>
  </si>
  <si>
    <t>AVDESH</t>
  </si>
  <si>
    <t>RADHE SHYAM SINGH</t>
  </si>
  <si>
    <t>9728016937</t>
  </si>
  <si>
    <t>DENKURA ALIGARH UP</t>
  </si>
  <si>
    <t>C-1516</t>
  </si>
  <si>
    <t>LALU</t>
  </si>
  <si>
    <t>VILASH DAS</t>
  </si>
  <si>
    <t>9599539083</t>
  </si>
  <si>
    <t>UTTAM NAGAR WEST DELHI</t>
  </si>
  <si>
    <t xml:space="preserve">DELHI </t>
  </si>
  <si>
    <t>SN-773</t>
  </si>
  <si>
    <t>JITENDRA PAL</t>
  </si>
  <si>
    <t>RAJPAL</t>
  </si>
  <si>
    <t>7262686851</t>
  </si>
  <si>
    <t>DAHGAWAN BADAUN UP</t>
  </si>
  <si>
    <t>BADAUN UP</t>
  </si>
  <si>
    <t>SN-783</t>
  </si>
  <si>
    <t>NITIN</t>
  </si>
  <si>
    <t>RAJKUMAR</t>
  </si>
  <si>
    <t>8630306238</t>
  </si>
  <si>
    <t>SARAI PIPRIYA BADAUN UP</t>
  </si>
  <si>
    <t>SN-784</t>
  </si>
  <si>
    <t>NEM</t>
  </si>
  <si>
    <t>TOTA RAM</t>
  </si>
  <si>
    <t>8218957502</t>
  </si>
  <si>
    <t>SARAI PIPRIYA BADAUN</t>
  </si>
  <si>
    <t>BADAUN  UP</t>
  </si>
  <si>
    <t>SN-775</t>
  </si>
  <si>
    <t>JEETU</t>
  </si>
  <si>
    <t>DORI LAL SINGH</t>
  </si>
  <si>
    <t>9720690738</t>
  </si>
  <si>
    <t>KEBAL PUR SAMLI UP</t>
  </si>
  <si>
    <t>SAMLI UP</t>
  </si>
  <si>
    <t>Designation</t>
  </si>
  <si>
    <t>Number Changed</t>
  </si>
  <si>
    <t>Satisfaction Level</t>
  </si>
  <si>
    <t>Higher Education</t>
  </si>
  <si>
    <t>Not Defined</t>
  </si>
  <si>
    <t>Row Labels</t>
  </si>
  <si>
    <t>Grand Total</t>
  </si>
  <si>
    <t>Count of Gender</t>
  </si>
  <si>
    <t>Total Emplouyees 410</t>
  </si>
  <si>
    <t>Total Employees</t>
  </si>
  <si>
    <t>Count of Reason For Leaving</t>
  </si>
  <si>
    <t>Exit Month</t>
  </si>
  <si>
    <t>January</t>
  </si>
  <si>
    <t>February</t>
  </si>
  <si>
    <t>March</t>
  </si>
  <si>
    <t>Count of Exit Month</t>
  </si>
  <si>
    <t>Reasons for Leaving</t>
  </si>
  <si>
    <t>Count</t>
  </si>
  <si>
    <t>Agree to Rejoin</t>
  </si>
  <si>
    <t>Contractor</t>
  </si>
  <si>
    <t>Column Labels</t>
  </si>
  <si>
    <t>Satisfaction level</t>
  </si>
  <si>
    <t>Month</t>
  </si>
  <si>
    <t>No. of Exits</t>
  </si>
  <si>
    <t>Avg. Headcount</t>
  </si>
  <si>
    <t>Attrition %</t>
  </si>
  <si>
    <t>Quarter</t>
  </si>
  <si>
    <t>(All)</t>
  </si>
  <si>
    <t>Business Vertical Attrition Comparison Table:</t>
  </si>
  <si>
    <t>IPD Gr. Noida</t>
  </si>
  <si>
    <t>DCD Gr. Noida</t>
  </si>
  <si>
    <t>SMIT Pune</t>
  </si>
  <si>
    <t>WHD Haridwar</t>
  </si>
  <si>
    <t>WHD Pithampur</t>
  </si>
  <si>
    <t>GCO</t>
  </si>
  <si>
    <t>SSD pune</t>
  </si>
  <si>
    <t>MVAST Pune</t>
  </si>
  <si>
    <t>Business Vertical</t>
  </si>
  <si>
    <t>YTD Attrition %</t>
  </si>
  <si>
    <t>🟢 Comparative Insights:</t>
  </si>
  <si>
    <t>Engagement Practice</t>
  </si>
  <si>
    <t>IPD (Greater Noida)</t>
  </si>
  <si>
    <t>First Day Celebration</t>
  </si>
  <si>
    <t>✅ Yes</t>
  </si>
  <si>
    <t>✅ Yes + Extended Awards</t>
  </si>
  <si>
    <t>Fun Friday</t>
  </si>
  <si>
    <t>❌ No</t>
  </si>
  <si>
    <t>HR Helpdesk</t>
  </si>
  <si>
    <t>✅ Daily (2x)</t>
  </si>
  <si>
    <t>✅ Monthly</t>
  </si>
  <si>
    <t>❌ Not specified</t>
  </si>
  <si>
    <t>Festival Celebrations</t>
  </si>
  <si>
    <t>Female-Specific Meetings</t>
  </si>
  <si>
    <t>Government Welfare Support</t>
  </si>
  <si>
    <t>✅ Scholarships &amp; Marriage Aid</t>
  </si>
  <si>
    <t>❌ Not mentioned</t>
  </si>
  <si>
    <t>Quality Circles</t>
  </si>
  <si>
    <t>✅ Group-Level</t>
  </si>
  <si>
    <t>Quiz/Skill Competitions</t>
  </si>
  <si>
    <t>Lucky Draw &amp; Raffle Events</t>
  </si>
  <si>
    <t>✅ Yes (Diwali Specific)</t>
  </si>
  <si>
    <t>Total Headcount</t>
  </si>
  <si>
    <t>Working at other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</si>
</sst>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d\-mmm\-yy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rgb="FF002060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3.5"/>
      <color theme="4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9" fontId="7" fillId="2" borderId="0" xfId="1" applyFont="1" applyFill="1" applyBorder="1" applyAlignment="1" applyProtection="1">
      <alignment horizontal="center" vertical="center"/>
    </xf>
    <xf numFmtId="9" fontId="5" fillId="0" borderId="0" xfId="1" applyFont="1" applyFill="1" applyBorder="1" applyAlignment="1" applyProtection="1">
      <alignment horizontal="center" vertical="center"/>
      <protection locked="0"/>
    </xf>
    <xf numFmtId="14" fontId="5" fillId="0" borderId="0" xfId="1" applyNumberFormat="1" applyFont="1" applyFill="1" applyBorder="1" applyAlignment="1" applyProtection="1">
      <alignment horizontal="center" vertical="center"/>
      <protection locked="0"/>
    </xf>
    <xf numFmtId="9" fontId="5" fillId="0" borderId="0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4" fillId="3" borderId="0" xfId="1" applyFont="1" applyFill="1" applyBorder="1" applyAlignment="1" applyProtection="1">
      <alignment horizontal="center" vertical="center"/>
    </xf>
    <xf numFmtId="17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8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3" fillId="0" borderId="0" xfId="0" applyFont="1"/>
    <xf numFmtId="0" fontId="8" fillId="4" borderId="0" xfId="0" applyFont="1" applyFill="1" applyAlignment="1">
      <alignment horizontal="center" vertical="center"/>
    </xf>
    <xf numFmtId="10" fontId="8" fillId="4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/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/>
    </xf>
    <xf numFmtId="0" fontId="8" fillId="4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9" fontId="8" fillId="2" borderId="1" xfId="1" applyFont="1" applyFill="1" applyBorder="1" applyAlignment="1" applyProtection="1">
      <alignment horizontal="center" vertical="center"/>
    </xf>
    <xf numFmtId="9" fontId="1" fillId="0" borderId="1" xfId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9" fontId="1" fillId="0" borderId="1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167" fontId="8" fillId="2" borderId="1" xfId="1" applyNumberFormat="1" applyFont="1" applyFill="1" applyBorder="1" applyAlignment="1" applyProtection="1">
      <alignment horizontal="center" vertical="center"/>
    </xf>
    <xf numFmtId="167" fontId="1" fillId="0" borderId="1" xfId="1" applyNumberFormat="1" applyFont="1" applyFill="1" applyBorder="1" applyAlignment="1" applyProtection="1">
      <alignment horizontal="center" vertical="center"/>
      <protection locked="0"/>
    </xf>
    <xf numFmtId="167" fontId="0" fillId="0" borderId="0" xfId="0" applyNumberFormat="1"/>
    <xf numFmtId="0" fontId="0" fillId="0" borderId="0" xfId="0" applyNumberFormat="1"/>
    <xf numFmtId="0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60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 Analysis Project.xlsx]Univariate Analysis!PivotTable11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Gender Distribution of Exited Associates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'Univariate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A1-491D-B524-739F0FB0D2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A1-491D-B524-739F0FB0D20E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'Univariate Analysis'!$A$4:$A$6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'Univariate Analysis'!$B$4:$B$6</c:f>
              <c:numCache>
                <c:formatCode>General</c:formatCode>
                <c:ptCount val="2"/>
                <c:pt idx="0">
                  <c:v>40</c:v>
                </c:pt>
                <c:pt idx="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B-4F56-9261-7347B66EE12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 Analysis Project.xlsx]Univariate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Reasons for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'Univariate Analysis'!$B$17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'Univariate Analysis'!$A$18:$A$30</c:f>
              <c:strCache>
                <c:ptCount val="12"/>
                <c:pt idx="0">
                  <c:v>Salary hold issue</c:v>
                </c:pt>
                <c:pt idx="1">
                  <c:v>Contractor behaviour was not good</c:v>
                </c:pt>
                <c:pt idx="2">
                  <c:v>Higher education</c:v>
                </c:pt>
                <c:pt idx="3">
                  <c:v>House construction</c:v>
                </c:pt>
                <c:pt idx="4">
                  <c:v>Marriage</c:v>
                </c:pt>
                <c:pt idx="5">
                  <c:v>Exams</c:v>
                </c:pt>
                <c:pt idx="6">
                  <c:v>Absconded</c:v>
                </c:pt>
                <c:pt idx="7">
                  <c:v>Health Issues</c:v>
                </c:pt>
                <c:pt idx="8">
                  <c:v>Not satisfied with salary</c:v>
                </c:pt>
                <c:pt idx="9">
                  <c:v>Better Opportunity</c:v>
                </c:pt>
                <c:pt idx="10">
                  <c:v>Personal reasons</c:v>
                </c:pt>
                <c:pt idx="11">
                  <c:v>Not Defined</c:v>
                </c:pt>
              </c:strCache>
            </c:strRef>
          </c:cat>
          <c:val>
            <c:numRef>
              <c:f>'Univariate Analysis'!$B$18:$B$30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7</c:v>
                </c:pt>
                <c:pt idx="8">
                  <c:v>11</c:v>
                </c:pt>
                <c:pt idx="9">
                  <c:v>12</c:v>
                </c:pt>
                <c:pt idx="10">
                  <c:v>24</c:v>
                </c:pt>
                <c:pt idx="1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E-4C20-BFD0-D5096FBB93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47476672"/>
        <c:axId val="447477152"/>
      </c:barChart>
      <c:catAx>
        <c:axId val="447476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477152"/>
        <c:crosses val="autoZero"/>
        <c:auto val="1"/>
        <c:lblAlgn val="ctr"/>
        <c:lblOffset val="100"/>
        <c:noMultiLvlLbl val="0"/>
      </c:catAx>
      <c:valAx>
        <c:axId val="44747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47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 Analysis Project.xlsx]Univariate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Satisfaction Level of Exited Associates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'Univariate Analysis'!$B$41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'Univariate Analysis'!$A$42:$A$47</c:f>
              <c:strCache>
                <c:ptCount val="5"/>
                <c:pt idx="0">
                  <c:v>5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Not Defined</c:v>
                </c:pt>
              </c:strCache>
            </c:strRef>
          </c:cat>
          <c:val>
            <c:numRef>
              <c:f>'Univariate Analysis'!$B$42:$B$47</c:f>
              <c:numCache>
                <c:formatCode>General</c:formatCode>
                <c:ptCount val="5"/>
                <c:pt idx="0">
                  <c:v>9</c:v>
                </c:pt>
                <c:pt idx="1">
                  <c:v>9</c:v>
                </c:pt>
                <c:pt idx="2">
                  <c:v>25</c:v>
                </c:pt>
                <c:pt idx="3">
                  <c:v>25</c:v>
                </c:pt>
                <c:pt idx="4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5-4050-B5C3-CBBCD25D45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7502112"/>
        <c:axId val="447485792"/>
      </c:barChart>
      <c:catAx>
        <c:axId val="447502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7485792"/>
        <c:crosses val="autoZero"/>
        <c:auto val="1"/>
        <c:lblAlgn val="ctr"/>
        <c:lblOffset val="100"/>
        <c:noMultiLvlLbl val="0"/>
      </c:catAx>
      <c:valAx>
        <c:axId val="4474857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475021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 Analysis Project.xlsx]Univariate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Willingness to Rejoin Spark Minda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'Univariate Analysis'!$B$58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1D-4A17-895C-FD16B8EBE1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1D-4A17-895C-FD16B8EBE1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F1D-4A17-895C-FD16B8EBE1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F1D-4A17-895C-FD16B8EBE1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F1D-4A17-895C-FD16B8EBE12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F1D-4A17-895C-FD16B8EBE1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'Univariate Analysis'!$A$59:$A$64</c:f>
              <c:strCache>
                <c:ptCount val="5"/>
                <c:pt idx="0">
                  <c:v>No </c:v>
                </c:pt>
                <c:pt idx="1">
                  <c:v>Can not say right now</c:v>
                </c:pt>
                <c:pt idx="2">
                  <c:v>Yes</c:v>
                </c:pt>
                <c:pt idx="3">
                  <c:v>No</c:v>
                </c:pt>
                <c:pt idx="4">
                  <c:v>Not Defined</c:v>
                </c:pt>
              </c:strCache>
            </c:strRef>
          </c:cat>
          <c:val>
            <c:numRef>
              <c:f>'Univariate Analysis'!$B$59:$B$64</c:f>
              <c:numCache>
                <c:formatCode>General</c:formatCode>
                <c:ptCount val="5"/>
                <c:pt idx="0">
                  <c:v>2</c:v>
                </c:pt>
                <c:pt idx="1">
                  <c:v>16</c:v>
                </c:pt>
                <c:pt idx="2">
                  <c:v>21</c:v>
                </c:pt>
                <c:pt idx="3">
                  <c:v>31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3C-4E78-B7DE-79AAE1B0239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 Analysis Project.xlsx]Univariate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Attrition by Contractor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'Univariate Analysis'!$B$76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'Univariate Analysis'!$A$77:$A$82</c:f>
              <c:strCache>
                <c:ptCount val="5"/>
                <c:pt idx="0">
                  <c:v>ARMS NAPS</c:v>
                </c:pt>
                <c:pt idx="1">
                  <c:v>B4S SOLUTION PVT LTD</c:v>
                </c:pt>
                <c:pt idx="2">
                  <c:v>HARBIR SINGH CONTRACTOR</c:v>
                </c:pt>
                <c:pt idx="3">
                  <c:v>NAVARNA BHARAT</c:v>
                </c:pt>
                <c:pt idx="4">
                  <c:v>SANJEERA</c:v>
                </c:pt>
              </c:strCache>
            </c:strRef>
          </c:cat>
          <c:val>
            <c:numRef>
              <c:f>'Univariate Analysis'!$B$77:$B$82</c:f>
              <c:numCache>
                <c:formatCode>General</c:formatCode>
                <c:ptCount val="5"/>
                <c:pt idx="0">
                  <c:v>19</c:v>
                </c:pt>
                <c:pt idx="1">
                  <c:v>25</c:v>
                </c:pt>
                <c:pt idx="2">
                  <c:v>27</c:v>
                </c:pt>
                <c:pt idx="3">
                  <c:v>27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B-46B8-848A-C807811AA3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7751328"/>
        <c:axId val="437760928"/>
      </c:barChart>
      <c:catAx>
        <c:axId val="437751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760928"/>
        <c:crosses val="autoZero"/>
        <c:auto val="1"/>
        <c:lblAlgn val="ctr"/>
        <c:lblOffset val="100"/>
        <c:noMultiLvlLbl val="0"/>
      </c:catAx>
      <c:valAx>
        <c:axId val="43776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75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[Attrition Analysis Project.xlsx]Univariate 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Attrition Trend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'Univariate Analysis'!$B$93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'Univariate Analysis'!$A$94:$A$97</c:f>
              <c:strCache>
                <c:ptCount val="3"/>
                <c:pt idx="0">
                  <c:v>March</c:v>
                </c:pt>
                <c:pt idx="1">
                  <c:v>January</c:v>
                </c:pt>
                <c:pt idx="2">
                  <c:v>February</c:v>
                </c:pt>
              </c:strCache>
            </c:strRef>
          </c:cat>
          <c:val>
            <c:numRef>
              <c:f>'Univariate Analysis'!$B$94:$B$97</c:f>
              <c:numCache>
                <c:formatCode>General</c:formatCode>
                <c:ptCount val="3"/>
                <c:pt idx="0">
                  <c:v>41</c:v>
                </c:pt>
                <c:pt idx="1">
                  <c:v>42</c:v>
                </c:pt>
                <c:pt idx="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E-4734-B1B7-0FD81337C7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6567616"/>
        <c:axId val="916569536"/>
      </c:barChart>
      <c:catAx>
        <c:axId val="91656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569536"/>
        <c:crosses val="autoZero"/>
        <c:auto val="1"/>
        <c:lblAlgn val="ctr"/>
        <c:lblOffset val="100"/>
        <c:noMultiLvlLbl val="0"/>
      </c:catAx>
      <c:valAx>
        <c:axId val="916569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5676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 Analysis Project.xlsx]Bi-Variate Analysis!PivotTable12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Reasons vs Satisfaction Level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'Bi-Variate Analysis'!$B$1:$B$2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Analysis'!$A$3:$A$15</c:f>
              <c:strCache>
                <c:ptCount val="12"/>
                <c:pt idx="0">
                  <c:v>Higher education</c:v>
                </c:pt>
                <c:pt idx="1">
                  <c:v>House construction</c:v>
                </c:pt>
                <c:pt idx="2">
                  <c:v>Not Defined</c:v>
                </c:pt>
                <c:pt idx="3">
                  <c:v>Marriage</c:v>
                </c:pt>
                <c:pt idx="4">
                  <c:v>Salary hold issue</c:v>
                </c:pt>
                <c:pt idx="5">
                  <c:v>Exams</c:v>
                </c:pt>
                <c:pt idx="6">
                  <c:v>Contractor behaviour was not good</c:v>
                </c:pt>
                <c:pt idx="7">
                  <c:v>Health Issues</c:v>
                </c:pt>
                <c:pt idx="8">
                  <c:v>Absconded</c:v>
                </c:pt>
                <c:pt idx="9">
                  <c:v>Personal reasons</c:v>
                </c:pt>
                <c:pt idx="10">
                  <c:v>Better Opportunity</c:v>
                </c:pt>
                <c:pt idx="11">
                  <c:v>Not satisfied with salary</c:v>
                </c:pt>
              </c:strCache>
            </c:strRef>
          </c:cat>
          <c:val>
            <c:numRef>
              <c:f>'Bi-Variate Analysis'!$B$3:$B$15</c:f>
              <c:numCache>
                <c:formatCode>General</c:formatCode>
                <c:ptCount val="12"/>
                <c:pt idx="4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0-4D84-9BD0-422A655CD21E}"/>
            </c:ext>
          </c:extLst>
        </c:ser>
        <c:ser>
          <c:idx val="1"/>
          <c:order val="1"/>
          <c:tx>
            <c:strRef>
              <c:f>'Bi-Variate Analysis'!$C$1:$C$2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Analysis'!$A$3:$A$15</c:f>
              <c:strCache>
                <c:ptCount val="12"/>
                <c:pt idx="0">
                  <c:v>Higher education</c:v>
                </c:pt>
                <c:pt idx="1">
                  <c:v>House construction</c:v>
                </c:pt>
                <c:pt idx="2">
                  <c:v>Not Defined</c:v>
                </c:pt>
                <c:pt idx="3">
                  <c:v>Marriage</c:v>
                </c:pt>
                <c:pt idx="4">
                  <c:v>Salary hold issue</c:v>
                </c:pt>
                <c:pt idx="5">
                  <c:v>Exams</c:v>
                </c:pt>
                <c:pt idx="6">
                  <c:v>Contractor behaviour was not good</c:v>
                </c:pt>
                <c:pt idx="7">
                  <c:v>Health Issues</c:v>
                </c:pt>
                <c:pt idx="8">
                  <c:v>Absconded</c:v>
                </c:pt>
                <c:pt idx="9">
                  <c:v>Personal reasons</c:v>
                </c:pt>
                <c:pt idx="10">
                  <c:v>Better Opportunity</c:v>
                </c:pt>
                <c:pt idx="11">
                  <c:v>Not satisfied with salary</c:v>
                </c:pt>
              </c:strCache>
            </c:strRef>
          </c:cat>
          <c:val>
            <c:numRef>
              <c:f>'Bi-Variate Analysis'!$C$3:$C$15</c:f>
              <c:numCache>
                <c:formatCode>General</c:formatCode>
                <c:ptCount val="12"/>
                <c:pt idx="7">
                  <c:v>2</c:v>
                </c:pt>
                <c:pt idx="8">
                  <c:v>3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90-4D84-9BD0-422A655CD21E}"/>
            </c:ext>
          </c:extLst>
        </c:ser>
        <c:ser>
          <c:idx val="2"/>
          <c:order val="2"/>
          <c:tx>
            <c:strRef>
              <c:f>'Bi-Variate Analysis'!$D$1:$D$2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Analysis'!$A$3:$A$15</c:f>
              <c:strCache>
                <c:ptCount val="12"/>
                <c:pt idx="0">
                  <c:v>Higher education</c:v>
                </c:pt>
                <c:pt idx="1">
                  <c:v>House construction</c:v>
                </c:pt>
                <c:pt idx="2">
                  <c:v>Not Defined</c:v>
                </c:pt>
                <c:pt idx="3">
                  <c:v>Marriage</c:v>
                </c:pt>
                <c:pt idx="4">
                  <c:v>Salary hold issue</c:v>
                </c:pt>
                <c:pt idx="5">
                  <c:v>Exams</c:v>
                </c:pt>
                <c:pt idx="6">
                  <c:v>Contractor behaviour was not good</c:v>
                </c:pt>
                <c:pt idx="7">
                  <c:v>Health Issues</c:v>
                </c:pt>
                <c:pt idx="8">
                  <c:v>Absconded</c:v>
                </c:pt>
                <c:pt idx="9">
                  <c:v>Personal reasons</c:v>
                </c:pt>
                <c:pt idx="10">
                  <c:v>Better Opportunity</c:v>
                </c:pt>
                <c:pt idx="11">
                  <c:v>Not satisfied with salary</c:v>
                </c:pt>
              </c:strCache>
            </c:strRef>
          </c:cat>
          <c:val>
            <c:numRef>
              <c:f>'Bi-Variate Analysis'!$D$3:$D$15</c:f>
              <c:numCache>
                <c:formatCode>General</c:formatCode>
                <c:ptCount val="12"/>
                <c:pt idx="0">
                  <c:v>1</c:v>
                </c:pt>
                <c:pt idx="3">
                  <c:v>1</c:v>
                </c:pt>
                <c:pt idx="5">
                  <c:v>3</c:v>
                </c:pt>
                <c:pt idx="7">
                  <c:v>4</c:v>
                </c:pt>
                <c:pt idx="9">
                  <c:v>14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90-4D84-9BD0-422A655CD21E}"/>
            </c:ext>
          </c:extLst>
        </c:ser>
        <c:ser>
          <c:idx val="3"/>
          <c:order val="3"/>
          <c:tx>
            <c:strRef>
              <c:f>'Bi-Variate Analysis'!$E$1:$E$2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Analysis'!$A$3:$A$15</c:f>
              <c:strCache>
                <c:ptCount val="12"/>
                <c:pt idx="0">
                  <c:v>Higher education</c:v>
                </c:pt>
                <c:pt idx="1">
                  <c:v>House construction</c:v>
                </c:pt>
                <c:pt idx="2">
                  <c:v>Not Defined</c:v>
                </c:pt>
                <c:pt idx="3">
                  <c:v>Marriage</c:v>
                </c:pt>
                <c:pt idx="4">
                  <c:v>Salary hold issue</c:v>
                </c:pt>
                <c:pt idx="5">
                  <c:v>Exams</c:v>
                </c:pt>
                <c:pt idx="6">
                  <c:v>Contractor behaviour was not good</c:v>
                </c:pt>
                <c:pt idx="7">
                  <c:v>Health Issues</c:v>
                </c:pt>
                <c:pt idx="8">
                  <c:v>Absconded</c:v>
                </c:pt>
                <c:pt idx="9">
                  <c:v>Personal reasons</c:v>
                </c:pt>
                <c:pt idx="10">
                  <c:v>Better Opportunity</c:v>
                </c:pt>
                <c:pt idx="11">
                  <c:v>Not satisfied with salary</c:v>
                </c:pt>
              </c:strCache>
            </c:strRef>
          </c:cat>
          <c:val>
            <c:numRef>
              <c:f>'Bi-Variate Analysis'!$E$3:$E$15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3">
                  <c:v>2</c:v>
                </c:pt>
                <c:pt idx="7">
                  <c:v>1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90-4D84-9BD0-422A655CD21E}"/>
            </c:ext>
          </c:extLst>
        </c:ser>
        <c:ser>
          <c:idx val="4"/>
          <c:order val="4"/>
          <c:tx>
            <c:strRef>
              <c:f>'Bi-Variate Analysis'!$F$1:$F$2</c:f>
              <c:strCache>
                <c:ptCount val="1"/>
                <c:pt idx="0">
                  <c:v>Not Defined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Analysis'!$A$3:$A$15</c:f>
              <c:strCache>
                <c:ptCount val="12"/>
                <c:pt idx="0">
                  <c:v>Higher education</c:v>
                </c:pt>
                <c:pt idx="1">
                  <c:v>House construction</c:v>
                </c:pt>
                <c:pt idx="2">
                  <c:v>Not Defined</c:v>
                </c:pt>
                <c:pt idx="3">
                  <c:v>Marriage</c:v>
                </c:pt>
                <c:pt idx="4">
                  <c:v>Salary hold issue</c:v>
                </c:pt>
                <c:pt idx="5">
                  <c:v>Exams</c:v>
                </c:pt>
                <c:pt idx="6">
                  <c:v>Contractor behaviour was not good</c:v>
                </c:pt>
                <c:pt idx="7">
                  <c:v>Health Issues</c:v>
                </c:pt>
                <c:pt idx="8">
                  <c:v>Absconded</c:v>
                </c:pt>
                <c:pt idx="9">
                  <c:v>Personal reasons</c:v>
                </c:pt>
                <c:pt idx="10">
                  <c:v>Better Opportunity</c:v>
                </c:pt>
                <c:pt idx="11">
                  <c:v>Not satisfied with salary</c:v>
                </c:pt>
              </c:strCache>
            </c:strRef>
          </c:cat>
          <c:val>
            <c:numRef>
              <c:f>'Bi-Variate Analysis'!$F$3:$F$15</c:f>
              <c:numCache>
                <c:formatCode>General</c:formatCode>
                <c:ptCount val="12"/>
                <c:pt idx="2">
                  <c:v>60</c:v>
                </c:pt>
                <c:pt idx="6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90-4D84-9BD0-422A655CD2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100"/>
        <c:axId val="935380352"/>
        <c:axId val="935382272"/>
      </c:barChart>
      <c:catAx>
        <c:axId val="935380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382272"/>
        <c:crosses val="autoZero"/>
        <c:auto val="1"/>
        <c:lblAlgn val="ctr"/>
        <c:lblOffset val="100"/>
        <c:noMultiLvlLbl val="0"/>
      </c:catAx>
      <c:valAx>
        <c:axId val="935382272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38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064687486974798"/>
          <c:y val="0.32482365460025997"/>
          <c:w val="0.15824800217089122"/>
          <c:h val="0.493440567780394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 Analysis Project.xlsx]Bi-Variate Analysis!PivotTable13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Satisfaction vs Willingness to Rejoin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'Bi-Variate Analysis'!$B$36:$B$37</c:f>
              <c:strCache>
                <c:ptCount val="1"/>
                <c:pt idx="0">
                  <c:v>Can not say right now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Analysis'!$A$38:$A$43</c:f>
              <c:strCache>
                <c:ptCount val="5"/>
                <c:pt idx="0">
                  <c:v>2</c:v>
                </c:pt>
                <c:pt idx="1">
                  <c:v>Not Defined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</c:strCache>
            </c:strRef>
          </c:cat>
          <c:val>
            <c:numRef>
              <c:f>'Bi-Variate Analysis'!$B$38:$B$43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5-4853-A37B-DDC3A956B09F}"/>
            </c:ext>
          </c:extLst>
        </c:ser>
        <c:ser>
          <c:idx val="1"/>
          <c:order val="1"/>
          <c:tx>
            <c:strRef>
              <c:f>'Bi-Variate Analysis'!$C$36:$C$37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Analysis'!$A$38:$A$43</c:f>
              <c:strCache>
                <c:ptCount val="5"/>
                <c:pt idx="0">
                  <c:v>2</c:v>
                </c:pt>
                <c:pt idx="1">
                  <c:v>Not Defined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</c:strCache>
            </c:strRef>
          </c:cat>
          <c:val>
            <c:numRef>
              <c:f>'Bi-Variate Analysis'!$C$38:$C$43</c:f>
              <c:numCache>
                <c:formatCode>General</c:formatCode>
                <c:ptCount val="5"/>
                <c:pt idx="0">
                  <c:v>7</c:v>
                </c:pt>
                <c:pt idx="1">
                  <c:v>1</c:v>
                </c:pt>
                <c:pt idx="2">
                  <c:v>19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95-4853-A37B-DDC3A956B09F}"/>
            </c:ext>
          </c:extLst>
        </c:ser>
        <c:ser>
          <c:idx val="2"/>
          <c:order val="2"/>
          <c:tx>
            <c:strRef>
              <c:f>'Bi-Variate Analysis'!$D$36:$D$37</c:f>
              <c:strCache>
                <c:ptCount val="1"/>
                <c:pt idx="0">
                  <c:v>No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Analysis'!$A$38:$A$43</c:f>
              <c:strCache>
                <c:ptCount val="5"/>
                <c:pt idx="0">
                  <c:v>2</c:v>
                </c:pt>
                <c:pt idx="1">
                  <c:v>Not Defined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</c:strCache>
            </c:strRef>
          </c:cat>
          <c:val>
            <c:numRef>
              <c:f>'Bi-Variate Analysis'!$D$38:$D$43</c:f>
              <c:numCache>
                <c:formatCode>General</c:formatCode>
                <c:ptCount val="5"/>
                <c:pt idx="0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95-4853-A37B-DDC3A956B09F}"/>
            </c:ext>
          </c:extLst>
        </c:ser>
        <c:ser>
          <c:idx val="3"/>
          <c:order val="3"/>
          <c:tx>
            <c:strRef>
              <c:f>'Bi-Variate Analysis'!$E$36:$E$37</c:f>
              <c:strCache>
                <c:ptCount val="1"/>
                <c:pt idx="0">
                  <c:v>Not Defined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Analysis'!$A$38:$A$43</c:f>
              <c:strCache>
                <c:ptCount val="5"/>
                <c:pt idx="0">
                  <c:v>2</c:v>
                </c:pt>
                <c:pt idx="1">
                  <c:v>Not Defined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</c:strCache>
            </c:strRef>
          </c:cat>
          <c:val>
            <c:numRef>
              <c:f>'Bi-Variate Analysis'!$E$38:$E$43</c:f>
              <c:numCache>
                <c:formatCode>General</c:formatCode>
                <c:ptCount val="5"/>
                <c:pt idx="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95-4853-A37B-DDC3A956B09F}"/>
            </c:ext>
          </c:extLst>
        </c:ser>
        <c:ser>
          <c:idx val="4"/>
          <c:order val="4"/>
          <c:tx>
            <c:strRef>
              <c:f>'Bi-Variate Analysis'!$F$36:$F$37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Analysis'!$A$38:$A$43</c:f>
              <c:strCache>
                <c:ptCount val="5"/>
                <c:pt idx="0">
                  <c:v>2</c:v>
                </c:pt>
                <c:pt idx="1">
                  <c:v>Not Defined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</c:strCache>
            </c:strRef>
          </c:cat>
          <c:val>
            <c:numRef>
              <c:f>'Bi-Variate Analysis'!$F$38:$F$43</c:f>
              <c:numCache>
                <c:formatCode>General</c:formatCode>
                <c:ptCount val="5"/>
                <c:pt idx="2">
                  <c:v>1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95-4853-A37B-DDC3A956B0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35389952"/>
        <c:axId val="935390432"/>
      </c:barChart>
      <c:catAx>
        <c:axId val="93538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390432"/>
        <c:crosses val="autoZero"/>
        <c:auto val="1"/>
        <c:lblAlgn val="ctr"/>
        <c:lblOffset val="100"/>
        <c:noMultiLvlLbl val="0"/>
      </c:catAx>
      <c:valAx>
        <c:axId val="935390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38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 Analysis Project.xlsx]Bi-Variate Analysis!PivotTable15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Contractor vs Reason for Leaving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'Bi-Variate Analysis'!$B$63:$B$64</c:f>
              <c:strCache>
                <c:ptCount val="1"/>
                <c:pt idx="0">
                  <c:v>Absconded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Analysis'!$A$65:$A$70</c:f>
              <c:strCache>
                <c:ptCount val="5"/>
                <c:pt idx="0">
                  <c:v>ARMS NAPS</c:v>
                </c:pt>
                <c:pt idx="1">
                  <c:v>B4S SOLUTION PVT LTD</c:v>
                </c:pt>
                <c:pt idx="2">
                  <c:v>HARBIR SINGH CONTRACTOR</c:v>
                </c:pt>
                <c:pt idx="3">
                  <c:v>NAVARNA BHARAT</c:v>
                </c:pt>
                <c:pt idx="4">
                  <c:v>SANJEERA</c:v>
                </c:pt>
              </c:strCache>
            </c:strRef>
          </c:cat>
          <c:val>
            <c:numRef>
              <c:f>'Bi-Variate Analysis'!$B$65:$B$70</c:f>
              <c:numCache>
                <c:formatCode>General</c:formatCode>
                <c:ptCount val="5"/>
                <c:pt idx="2">
                  <c:v>1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0-422A-9E61-F5BE2F218DFB}"/>
            </c:ext>
          </c:extLst>
        </c:ser>
        <c:ser>
          <c:idx val="1"/>
          <c:order val="1"/>
          <c:tx>
            <c:strRef>
              <c:f>'Bi-Variate Analysis'!$C$63:$C$64</c:f>
              <c:strCache>
                <c:ptCount val="1"/>
                <c:pt idx="0">
                  <c:v>Better Opportunity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Analysis'!$A$65:$A$70</c:f>
              <c:strCache>
                <c:ptCount val="5"/>
                <c:pt idx="0">
                  <c:v>ARMS NAPS</c:v>
                </c:pt>
                <c:pt idx="1">
                  <c:v>B4S SOLUTION PVT LTD</c:v>
                </c:pt>
                <c:pt idx="2">
                  <c:v>HARBIR SINGH CONTRACTOR</c:v>
                </c:pt>
                <c:pt idx="3">
                  <c:v>NAVARNA BHARAT</c:v>
                </c:pt>
                <c:pt idx="4">
                  <c:v>SANJEERA</c:v>
                </c:pt>
              </c:strCache>
            </c:strRef>
          </c:cat>
          <c:val>
            <c:numRef>
              <c:f>'Bi-Variate Analysis'!$C$65:$C$70</c:f>
              <c:numCache>
                <c:formatCode>General</c:formatCode>
                <c:ptCount val="5"/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C0-422A-9E61-F5BE2F218DFB}"/>
            </c:ext>
          </c:extLst>
        </c:ser>
        <c:ser>
          <c:idx val="2"/>
          <c:order val="2"/>
          <c:tx>
            <c:strRef>
              <c:f>'Bi-Variate Analysis'!$D$63:$D$64</c:f>
              <c:strCache>
                <c:ptCount val="1"/>
                <c:pt idx="0">
                  <c:v>Contractor behaviour was not good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Analysis'!$A$65:$A$70</c:f>
              <c:strCache>
                <c:ptCount val="5"/>
                <c:pt idx="0">
                  <c:v>ARMS NAPS</c:v>
                </c:pt>
                <c:pt idx="1">
                  <c:v>B4S SOLUTION PVT LTD</c:v>
                </c:pt>
                <c:pt idx="2">
                  <c:v>HARBIR SINGH CONTRACTOR</c:v>
                </c:pt>
                <c:pt idx="3">
                  <c:v>NAVARNA BHARAT</c:v>
                </c:pt>
                <c:pt idx="4">
                  <c:v>SANJEERA</c:v>
                </c:pt>
              </c:strCache>
            </c:strRef>
          </c:cat>
          <c:val>
            <c:numRef>
              <c:f>'Bi-Variate Analysis'!$D$65:$D$70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C0-422A-9E61-F5BE2F218DFB}"/>
            </c:ext>
          </c:extLst>
        </c:ser>
        <c:ser>
          <c:idx val="3"/>
          <c:order val="3"/>
          <c:tx>
            <c:strRef>
              <c:f>'Bi-Variate Analysis'!$E$63:$E$64</c:f>
              <c:strCache>
                <c:ptCount val="1"/>
                <c:pt idx="0">
                  <c:v>Exams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Analysis'!$A$65:$A$70</c:f>
              <c:strCache>
                <c:ptCount val="5"/>
                <c:pt idx="0">
                  <c:v>ARMS NAPS</c:v>
                </c:pt>
                <c:pt idx="1">
                  <c:v>B4S SOLUTION PVT LTD</c:v>
                </c:pt>
                <c:pt idx="2">
                  <c:v>HARBIR SINGH CONTRACTOR</c:v>
                </c:pt>
                <c:pt idx="3">
                  <c:v>NAVARNA BHARAT</c:v>
                </c:pt>
                <c:pt idx="4">
                  <c:v>SANJEERA</c:v>
                </c:pt>
              </c:strCache>
            </c:strRef>
          </c:cat>
          <c:val>
            <c:numRef>
              <c:f>'Bi-Variate Analysis'!$E$65:$E$70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C0-422A-9E61-F5BE2F218DFB}"/>
            </c:ext>
          </c:extLst>
        </c:ser>
        <c:ser>
          <c:idx val="4"/>
          <c:order val="4"/>
          <c:tx>
            <c:strRef>
              <c:f>'Bi-Variate Analysis'!$F$63:$F$64</c:f>
              <c:strCache>
                <c:ptCount val="1"/>
                <c:pt idx="0">
                  <c:v>Health Issues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Analysis'!$A$65:$A$70</c:f>
              <c:strCache>
                <c:ptCount val="5"/>
                <c:pt idx="0">
                  <c:v>ARMS NAPS</c:v>
                </c:pt>
                <c:pt idx="1">
                  <c:v>B4S SOLUTION PVT LTD</c:v>
                </c:pt>
                <c:pt idx="2">
                  <c:v>HARBIR SINGH CONTRACTOR</c:v>
                </c:pt>
                <c:pt idx="3">
                  <c:v>NAVARNA BHARAT</c:v>
                </c:pt>
                <c:pt idx="4">
                  <c:v>SANJEERA</c:v>
                </c:pt>
              </c:strCache>
            </c:strRef>
          </c:cat>
          <c:val>
            <c:numRef>
              <c:f>'Bi-Variate Analysis'!$F$65:$F$70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C0-422A-9E61-F5BE2F218DFB}"/>
            </c:ext>
          </c:extLst>
        </c:ser>
        <c:ser>
          <c:idx val="5"/>
          <c:order val="5"/>
          <c:tx>
            <c:strRef>
              <c:f>'Bi-Variate Analysis'!$G$63:$G$64</c:f>
              <c:strCache>
                <c:ptCount val="1"/>
                <c:pt idx="0">
                  <c:v>Higher education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Analysis'!$A$65:$A$70</c:f>
              <c:strCache>
                <c:ptCount val="5"/>
                <c:pt idx="0">
                  <c:v>ARMS NAPS</c:v>
                </c:pt>
                <c:pt idx="1">
                  <c:v>B4S SOLUTION PVT LTD</c:v>
                </c:pt>
                <c:pt idx="2">
                  <c:v>HARBIR SINGH CONTRACTOR</c:v>
                </c:pt>
                <c:pt idx="3">
                  <c:v>NAVARNA BHARAT</c:v>
                </c:pt>
                <c:pt idx="4">
                  <c:v>SANJEERA</c:v>
                </c:pt>
              </c:strCache>
            </c:strRef>
          </c:cat>
          <c:val>
            <c:numRef>
              <c:f>'Bi-Variate Analysis'!$G$65:$G$70</c:f>
              <c:numCache>
                <c:formatCode>General</c:formatCode>
                <c:ptCount val="5"/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C0-422A-9E61-F5BE2F218DFB}"/>
            </c:ext>
          </c:extLst>
        </c:ser>
        <c:ser>
          <c:idx val="6"/>
          <c:order val="6"/>
          <c:tx>
            <c:strRef>
              <c:f>'Bi-Variate Analysis'!$H$63:$H$64</c:f>
              <c:strCache>
                <c:ptCount val="1"/>
                <c:pt idx="0">
                  <c:v>House construction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Analysis'!$A$65:$A$70</c:f>
              <c:strCache>
                <c:ptCount val="5"/>
                <c:pt idx="0">
                  <c:v>ARMS NAPS</c:v>
                </c:pt>
                <c:pt idx="1">
                  <c:v>B4S SOLUTION PVT LTD</c:v>
                </c:pt>
                <c:pt idx="2">
                  <c:v>HARBIR SINGH CONTRACTOR</c:v>
                </c:pt>
                <c:pt idx="3">
                  <c:v>NAVARNA BHARAT</c:v>
                </c:pt>
                <c:pt idx="4">
                  <c:v>SANJEERA</c:v>
                </c:pt>
              </c:strCache>
            </c:strRef>
          </c:cat>
          <c:val>
            <c:numRef>
              <c:f>'Bi-Variate Analysis'!$H$65:$H$70</c:f>
              <c:numCache>
                <c:formatCode>General</c:formatCode>
                <c:ptCount val="5"/>
                <c:pt idx="0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C0-422A-9E61-F5BE2F218DFB}"/>
            </c:ext>
          </c:extLst>
        </c:ser>
        <c:ser>
          <c:idx val="7"/>
          <c:order val="7"/>
          <c:tx>
            <c:strRef>
              <c:f>'Bi-Variate Analysis'!$I$63:$I$64</c:f>
              <c:strCache>
                <c:ptCount val="1"/>
                <c:pt idx="0">
                  <c:v>Marriage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Analysis'!$A$65:$A$70</c:f>
              <c:strCache>
                <c:ptCount val="5"/>
                <c:pt idx="0">
                  <c:v>ARMS NAPS</c:v>
                </c:pt>
                <c:pt idx="1">
                  <c:v>B4S SOLUTION PVT LTD</c:v>
                </c:pt>
                <c:pt idx="2">
                  <c:v>HARBIR SINGH CONTRACTOR</c:v>
                </c:pt>
                <c:pt idx="3">
                  <c:v>NAVARNA BHARAT</c:v>
                </c:pt>
                <c:pt idx="4">
                  <c:v>SANJEERA</c:v>
                </c:pt>
              </c:strCache>
            </c:strRef>
          </c:cat>
          <c:val>
            <c:numRef>
              <c:f>'Bi-Variate Analysis'!$I$65:$I$70</c:f>
              <c:numCache>
                <c:formatCode>General</c:formatCode>
                <c:ptCount val="5"/>
                <c:pt idx="1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EC0-422A-9E61-F5BE2F218DFB}"/>
            </c:ext>
          </c:extLst>
        </c:ser>
        <c:ser>
          <c:idx val="8"/>
          <c:order val="8"/>
          <c:tx>
            <c:strRef>
              <c:f>'Bi-Variate Analysis'!$J$63:$J$64</c:f>
              <c:strCache>
                <c:ptCount val="1"/>
                <c:pt idx="0">
                  <c:v>Not Defined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Analysis'!$A$65:$A$70</c:f>
              <c:strCache>
                <c:ptCount val="5"/>
                <c:pt idx="0">
                  <c:v>ARMS NAPS</c:v>
                </c:pt>
                <c:pt idx="1">
                  <c:v>B4S SOLUTION PVT LTD</c:v>
                </c:pt>
                <c:pt idx="2">
                  <c:v>HARBIR SINGH CONTRACTOR</c:v>
                </c:pt>
                <c:pt idx="3">
                  <c:v>NAVARNA BHARAT</c:v>
                </c:pt>
                <c:pt idx="4">
                  <c:v>SANJEERA</c:v>
                </c:pt>
              </c:strCache>
            </c:strRef>
          </c:cat>
          <c:val>
            <c:numRef>
              <c:f>'Bi-Variate Analysis'!$J$65:$J$70</c:f>
              <c:numCache>
                <c:formatCode>General</c:formatCode>
                <c:ptCount val="5"/>
                <c:pt idx="0">
                  <c:v>13</c:v>
                </c:pt>
                <c:pt idx="1">
                  <c:v>10</c:v>
                </c:pt>
                <c:pt idx="2">
                  <c:v>12</c:v>
                </c:pt>
                <c:pt idx="3">
                  <c:v>11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EC0-422A-9E61-F5BE2F218DFB}"/>
            </c:ext>
          </c:extLst>
        </c:ser>
        <c:ser>
          <c:idx val="9"/>
          <c:order val="9"/>
          <c:tx>
            <c:strRef>
              <c:f>'Bi-Variate Analysis'!$K$63:$K$64</c:f>
              <c:strCache>
                <c:ptCount val="1"/>
                <c:pt idx="0">
                  <c:v>Not satisfied with salary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Analysis'!$A$65:$A$70</c:f>
              <c:strCache>
                <c:ptCount val="5"/>
                <c:pt idx="0">
                  <c:v>ARMS NAPS</c:v>
                </c:pt>
                <c:pt idx="1">
                  <c:v>B4S SOLUTION PVT LTD</c:v>
                </c:pt>
                <c:pt idx="2">
                  <c:v>HARBIR SINGH CONTRACTOR</c:v>
                </c:pt>
                <c:pt idx="3">
                  <c:v>NAVARNA BHARAT</c:v>
                </c:pt>
                <c:pt idx="4">
                  <c:v>SANJEERA</c:v>
                </c:pt>
              </c:strCache>
            </c:strRef>
          </c:cat>
          <c:val>
            <c:numRef>
              <c:f>'Bi-Variate Analysis'!$K$65:$K$70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EC0-422A-9E61-F5BE2F218DFB}"/>
            </c:ext>
          </c:extLst>
        </c:ser>
        <c:ser>
          <c:idx val="10"/>
          <c:order val="10"/>
          <c:tx>
            <c:strRef>
              <c:f>'Bi-Variate Analysis'!$L$63:$L$64</c:f>
              <c:strCache>
                <c:ptCount val="1"/>
                <c:pt idx="0">
                  <c:v>Personal reasons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Analysis'!$A$65:$A$70</c:f>
              <c:strCache>
                <c:ptCount val="5"/>
                <c:pt idx="0">
                  <c:v>ARMS NAPS</c:v>
                </c:pt>
                <c:pt idx="1">
                  <c:v>B4S SOLUTION PVT LTD</c:v>
                </c:pt>
                <c:pt idx="2">
                  <c:v>HARBIR SINGH CONTRACTOR</c:v>
                </c:pt>
                <c:pt idx="3">
                  <c:v>NAVARNA BHARAT</c:v>
                </c:pt>
                <c:pt idx="4">
                  <c:v>SANJEERA</c:v>
                </c:pt>
              </c:strCache>
            </c:strRef>
          </c:cat>
          <c:val>
            <c:numRef>
              <c:f>'Bi-Variate Analysis'!$L$65:$L$70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EC0-422A-9E61-F5BE2F218DFB}"/>
            </c:ext>
          </c:extLst>
        </c:ser>
        <c:ser>
          <c:idx val="11"/>
          <c:order val="11"/>
          <c:tx>
            <c:strRef>
              <c:f>'Bi-Variate Analysis'!$M$63:$M$64</c:f>
              <c:strCache>
                <c:ptCount val="1"/>
                <c:pt idx="0">
                  <c:v>Salary hold issue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Analysis'!$A$65:$A$70</c:f>
              <c:strCache>
                <c:ptCount val="5"/>
                <c:pt idx="0">
                  <c:v>ARMS NAPS</c:v>
                </c:pt>
                <c:pt idx="1">
                  <c:v>B4S SOLUTION PVT LTD</c:v>
                </c:pt>
                <c:pt idx="2">
                  <c:v>HARBIR SINGH CONTRACTOR</c:v>
                </c:pt>
                <c:pt idx="3">
                  <c:v>NAVARNA BHARAT</c:v>
                </c:pt>
                <c:pt idx="4">
                  <c:v>SANJEERA</c:v>
                </c:pt>
              </c:strCache>
            </c:strRef>
          </c:cat>
          <c:val>
            <c:numRef>
              <c:f>'Bi-Variate Analysis'!$M$65:$M$70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EC0-422A-9E61-F5BE2F218DF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46544048"/>
        <c:axId val="946553168"/>
      </c:barChart>
      <c:catAx>
        <c:axId val="946544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553168"/>
        <c:crosses val="autoZero"/>
        <c:auto val="1"/>
        <c:lblAlgn val="ctr"/>
        <c:lblOffset val="100"/>
        <c:noMultiLvlLbl val="0"/>
      </c:catAx>
      <c:valAx>
        <c:axId val="94655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54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 Analysis Project.xlsx]Multivariate Analysis!PivotTable16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Gender vs Reason for Leaving vs Willingness to Rejoin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'Multivariate Analysis'!$B$3:$B$4</c:f>
              <c:strCache>
                <c:ptCount val="1"/>
                <c:pt idx="0">
                  <c:v>Absconded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'Multivariate Analysis'!$A$5:$A$7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'Multivariate Analysis'!$B$5:$B$7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D-4EAA-97B4-AC1932BCBADB}"/>
            </c:ext>
          </c:extLst>
        </c:ser>
        <c:ser>
          <c:idx val="1"/>
          <c:order val="1"/>
          <c:tx>
            <c:strRef>
              <c:f>'Multivariate Analysis'!$C$3:$C$4</c:f>
              <c:strCache>
                <c:ptCount val="1"/>
                <c:pt idx="0">
                  <c:v>Better Opportunity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'Multivariate Analysis'!$A$5:$A$7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'Multivariate Analysis'!$C$5:$C$7</c:f>
              <c:numCache>
                <c:formatCode>General</c:formatCode>
                <c:ptCount val="2"/>
                <c:pt idx="0">
                  <c:v>1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5D-4EAA-97B4-AC1932BCBADB}"/>
            </c:ext>
          </c:extLst>
        </c:ser>
        <c:ser>
          <c:idx val="2"/>
          <c:order val="2"/>
          <c:tx>
            <c:strRef>
              <c:f>'Multivariate Analysis'!$D$3:$D$4</c:f>
              <c:strCache>
                <c:ptCount val="1"/>
                <c:pt idx="0">
                  <c:v>Contractor behaviour was not good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'Multivariate Analysis'!$A$5:$A$7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'Multivariate Analysis'!$D$5:$D$7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5D-4EAA-97B4-AC1932BCBADB}"/>
            </c:ext>
          </c:extLst>
        </c:ser>
        <c:ser>
          <c:idx val="3"/>
          <c:order val="3"/>
          <c:tx>
            <c:strRef>
              <c:f>'Multivariate Analysis'!$E$3:$E$4</c:f>
              <c:strCache>
                <c:ptCount val="1"/>
                <c:pt idx="0">
                  <c:v>Exams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'Multivariate Analysis'!$A$5:$A$7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'Multivariate Analysis'!$E$5:$E$7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5D-4EAA-97B4-AC1932BCBADB}"/>
            </c:ext>
          </c:extLst>
        </c:ser>
        <c:ser>
          <c:idx val="4"/>
          <c:order val="4"/>
          <c:tx>
            <c:strRef>
              <c:f>'Multivariate Analysis'!$F$3:$F$4</c:f>
              <c:strCache>
                <c:ptCount val="1"/>
                <c:pt idx="0">
                  <c:v>Health Issues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'Multivariate Analysis'!$A$5:$A$7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'Multivariate Analysis'!$F$5:$F$7</c:f>
              <c:numCache>
                <c:formatCode>General</c:formatCode>
                <c:ptCount val="2"/>
                <c:pt idx="0">
                  <c:v>4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5D-4EAA-97B4-AC1932BCBADB}"/>
            </c:ext>
          </c:extLst>
        </c:ser>
        <c:ser>
          <c:idx val="5"/>
          <c:order val="5"/>
          <c:tx>
            <c:strRef>
              <c:f>'Multivariate Analysis'!$G$3:$G$4</c:f>
              <c:strCache>
                <c:ptCount val="1"/>
                <c:pt idx="0">
                  <c:v>Higher education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'Multivariate Analysis'!$A$5:$A$7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'Multivariate Analysis'!$G$5:$G$7</c:f>
              <c:numCache>
                <c:formatCode>General</c:formatCode>
                <c:ptCount val="2"/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5D-4EAA-97B4-AC1932BCBADB}"/>
            </c:ext>
          </c:extLst>
        </c:ser>
        <c:ser>
          <c:idx val="6"/>
          <c:order val="6"/>
          <c:tx>
            <c:strRef>
              <c:f>'Multivariate Analysis'!$H$3:$H$4</c:f>
              <c:strCache>
                <c:ptCount val="1"/>
                <c:pt idx="0">
                  <c:v>House construction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'Multivariate Analysis'!$A$5:$A$7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'Multivariate Analysis'!$H$5:$H$7</c:f>
              <c:numCache>
                <c:formatCode>General</c:formatCode>
                <c:ptCount val="2"/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5D-4EAA-97B4-AC1932BCBADB}"/>
            </c:ext>
          </c:extLst>
        </c:ser>
        <c:ser>
          <c:idx val="7"/>
          <c:order val="7"/>
          <c:tx>
            <c:strRef>
              <c:f>'Multivariate Analysis'!$I$3:$I$4</c:f>
              <c:strCache>
                <c:ptCount val="1"/>
                <c:pt idx="0">
                  <c:v>Marriage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'Multivariate Analysis'!$A$5:$A$7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'Multivariate Analysis'!$I$5:$I$7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6-45B9-8FA0-829B5D7E5887}"/>
            </c:ext>
          </c:extLst>
        </c:ser>
        <c:ser>
          <c:idx val="8"/>
          <c:order val="8"/>
          <c:tx>
            <c:strRef>
              <c:f>'Multivariate Analysis'!$J$3:$J$4</c:f>
              <c:strCache>
                <c:ptCount val="1"/>
                <c:pt idx="0">
                  <c:v>Not Defined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'Multivariate Analysis'!$A$5:$A$7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'Multivariate Analysis'!$J$5:$J$7</c:f>
              <c:numCache>
                <c:formatCode>General</c:formatCode>
                <c:ptCount val="2"/>
                <c:pt idx="0">
                  <c:v>20</c:v>
                </c:pt>
                <c:pt idx="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06-45B9-8FA0-829B5D7E5887}"/>
            </c:ext>
          </c:extLst>
        </c:ser>
        <c:ser>
          <c:idx val="9"/>
          <c:order val="9"/>
          <c:tx>
            <c:strRef>
              <c:f>'Multivariate Analysis'!$K$3:$K$4</c:f>
              <c:strCache>
                <c:ptCount val="1"/>
                <c:pt idx="0">
                  <c:v>Not satisfied with salary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'Multivariate Analysis'!$A$5:$A$7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'Multivariate Analysis'!$K$5:$K$7</c:f>
              <c:numCache>
                <c:formatCode>General</c:formatCode>
                <c:ptCount val="2"/>
                <c:pt idx="0">
                  <c:v>3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06-45B9-8FA0-829B5D7E5887}"/>
            </c:ext>
          </c:extLst>
        </c:ser>
        <c:ser>
          <c:idx val="10"/>
          <c:order val="10"/>
          <c:tx>
            <c:strRef>
              <c:f>'Multivariate Analysis'!$L$3:$L$4</c:f>
              <c:strCache>
                <c:ptCount val="1"/>
                <c:pt idx="0">
                  <c:v>Personal reasons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'Multivariate Analysis'!$A$5:$A$7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'Multivariate Analysis'!$L$5:$L$7</c:f>
              <c:numCache>
                <c:formatCode>General</c:formatCode>
                <c:ptCount val="2"/>
                <c:pt idx="0">
                  <c:v>6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06-45B9-8FA0-829B5D7E5887}"/>
            </c:ext>
          </c:extLst>
        </c:ser>
        <c:ser>
          <c:idx val="11"/>
          <c:order val="11"/>
          <c:tx>
            <c:strRef>
              <c:f>'Multivariate Analysis'!$M$3:$M$4</c:f>
              <c:strCache>
                <c:ptCount val="1"/>
                <c:pt idx="0">
                  <c:v>Salary hold issue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'Multivariate Analysis'!$A$5:$A$7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'Multivariate Analysis'!$M$5:$M$7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06-45B9-8FA0-829B5D7E5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6607408"/>
        <c:axId val="946617968"/>
      </c:barChart>
      <c:catAx>
        <c:axId val="94660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617968"/>
        <c:crosses val="autoZero"/>
        <c:auto val="1"/>
        <c:lblAlgn val="ctr"/>
        <c:lblOffset val="100"/>
        <c:noMultiLvlLbl val="0"/>
      </c:catAx>
      <c:valAx>
        <c:axId val="94661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60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 Analysis Project.xlsx]Univariate Analysis!PivotTable11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Gender Distribution of Exited Associates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'Univariate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66-4921-8931-494CA6A1CD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66-4921-8931-494CA6A1CD3F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'Univariate Analysis'!$A$4:$A$6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'Univariate Analysis'!$B$4:$B$6</c:f>
              <c:numCache>
                <c:formatCode>General</c:formatCode>
                <c:ptCount val="2"/>
                <c:pt idx="0">
                  <c:v>40</c:v>
                </c:pt>
                <c:pt idx="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66-4921-8931-494CA6A1CD3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 Analysis Project.xlsx]Univariate Analysis!PivotTable1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Top Reasons for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'Univariate Analysis'!$B$17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'Univariate Analysis'!$A$18:$A$30</c:f>
              <c:strCache>
                <c:ptCount val="12"/>
                <c:pt idx="0">
                  <c:v>Salary hold issue</c:v>
                </c:pt>
                <c:pt idx="1">
                  <c:v>Contractor behaviour was not good</c:v>
                </c:pt>
                <c:pt idx="2">
                  <c:v>Higher education</c:v>
                </c:pt>
                <c:pt idx="3">
                  <c:v>House construction</c:v>
                </c:pt>
                <c:pt idx="4">
                  <c:v>Marriage</c:v>
                </c:pt>
                <c:pt idx="5">
                  <c:v>Exams</c:v>
                </c:pt>
                <c:pt idx="6">
                  <c:v>Absconded</c:v>
                </c:pt>
                <c:pt idx="7">
                  <c:v>Health Issues</c:v>
                </c:pt>
                <c:pt idx="8">
                  <c:v>Not satisfied with salary</c:v>
                </c:pt>
                <c:pt idx="9">
                  <c:v>Better Opportunity</c:v>
                </c:pt>
                <c:pt idx="10">
                  <c:v>Personal reasons</c:v>
                </c:pt>
                <c:pt idx="11">
                  <c:v>Not Defined</c:v>
                </c:pt>
              </c:strCache>
            </c:strRef>
          </c:cat>
          <c:val>
            <c:numRef>
              <c:f>'Univariate Analysis'!$B$18:$B$30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7</c:v>
                </c:pt>
                <c:pt idx="8">
                  <c:v>11</c:v>
                </c:pt>
                <c:pt idx="9">
                  <c:v>12</c:v>
                </c:pt>
                <c:pt idx="10">
                  <c:v>24</c:v>
                </c:pt>
                <c:pt idx="1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64-4FDD-9FE6-84BD8FD2A0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47476672"/>
        <c:axId val="447477152"/>
      </c:barChart>
      <c:catAx>
        <c:axId val="447476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477152"/>
        <c:crosses val="autoZero"/>
        <c:auto val="1"/>
        <c:lblAlgn val="ctr"/>
        <c:lblOffset val="100"/>
        <c:noMultiLvlLbl val="0"/>
      </c:catAx>
      <c:valAx>
        <c:axId val="44747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47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 Analysis Project.xlsx]Univariate 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Satisfaction Level of Exited Associates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'Univariate Analysis'!$B$41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'Univariate Analysis'!$A$42:$A$47</c:f>
              <c:strCache>
                <c:ptCount val="5"/>
                <c:pt idx="0">
                  <c:v>5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Not Defined</c:v>
                </c:pt>
              </c:strCache>
            </c:strRef>
          </c:cat>
          <c:val>
            <c:numRef>
              <c:f>'Univariate Analysis'!$B$42:$B$47</c:f>
              <c:numCache>
                <c:formatCode>General</c:formatCode>
                <c:ptCount val="5"/>
                <c:pt idx="0">
                  <c:v>9</c:v>
                </c:pt>
                <c:pt idx="1">
                  <c:v>9</c:v>
                </c:pt>
                <c:pt idx="2">
                  <c:v>25</c:v>
                </c:pt>
                <c:pt idx="3">
                  <c:v>25</c:v>
                </c:pt>
                <c:pt idx="4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32-4BE4-B6D2-7E743687DB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7502112"/>
        <c:axId val="447485792"/>
      </c:barChart>
      <c:catAx>
        <c:axId val="447502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7485792"/>
        <c:crosses val="autoZero"/>
        <c:auto val="1"/>
        <c:lblAlgn val="ctr"/>
        <c:lblOffset val="100"/>
        <c:noMultiLvlLbl val="0"/>
      </c:catAx>
      <c:valAx>
        <c:axId val="4474857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475021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 Analysis Project.xlsx]Univariate 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Willingness to Rejoin Spark Minda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'Univariate Analysis'!$B$58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08-4EDB-A2C0-3322BF0C42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08-4EDB-A2C0-3322BF0C42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08-4EDB-A2C0-3322BF0C420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508-4EDB-A2C0-3322BF0C420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508-4EDB-A2C0-3322BF0C420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508-4EDB-A2C0-3322BF0C42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'Univariate Analysis'!$A$59:$A$64</c:f>
              <c:strCache>
                <c:ptCount val="5"/>
                <c:pt idx="0">
                  <c:v>No </c:v>
                </c:pt>
                <c:pt idx="1">
                  <c:v>Can not say right now</c:v>
                </c:pt>
                <c:pt idx="2">
                  <c:v>Yes</c:v>
                </c:pt>
                <c:pt idx="3">
                  <c:v>No</c:v>
                </c:pt>
                <c:pt idx="4">
                  <c:v>Not Defined</c:v>
                </c:pt>
              </c:strCache>
            </c:strRef>
          </c:cat>
          <c:val>
            <c:numRef>
              <c:f>'Univariate Analysis'!$B$59:$B$64</c:f>
              <c:numCache>
                <c:formatCode>General</c:formatCode>
                <c:ptCount val="5"/>
                <c:pt idx="0">
                  <c:v>2</c:v>
                </c:pt>
                <c:pt idx="1">
                  <c:v>16</c:v>
                </c:pt>
                <c:pt idx="2">
                  <c:v>21</c:v>
                </c:pt>
                <c:pt idx="3">
                  <c:v>31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508-4EDB-A2C0-3322BF0C420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 Analysis Project.xlsx]Univariate Analysis!PivotTable5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Attrition by Contractor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'Univariate Analysis'!$B$76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'Univariate Analysis'!$A$77:$A$82</c:f>
              <c:strCache>
                <c:ptCount val="5"/>
                <c:pt idx="0">
                  <c:v>ARMS NAPS</c:v>
                </c:pt>
                <c:pt idx="1">
                  <c:v>B4S SOLUTION PVT LTD</c:v>
                </c:pt>
                <c:pt idx="2">
                  <c:v>HARBIR SINGH CONTRACTOR</c:v>
                </c:pt>
                <c:pt idx="3">
                  <c:v>NAVARNA BHARAT</c:v>
                </c:pt>
                <c:pt idx="4">
                  <c:v>SANJEERA</c:v>
                </c:pt>
              </c:strCache>
            </c:strRef>
          </c:cat>
          <c:val>
            <c:numRef>
              <c:f>'Univariate Analysis'!$B$77:$B$82</c:f>
              <c:numCache>
                <c:formatCode>General</c:formatCode>
                <c:ptCount val="5"/>
                <c:pt idx="0">
                  <c:v>19</c:v>
                </c:pt>
                <c:pt idx="1">
                  <c:v>25</c:v>
                </c:pt>
                <c:pt idx="2">
                  <c:v>27</c:v>
                </c:pt>
                <c:pt idx="3">
                  <c:v>27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5F-49C7-A45E-59E0A20492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7751328"/>
        <c:axId val="437760928"/>
      </c:barChart>
      <c:catAx>
        <c:axId val="437751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760928"/>
        <c:crosses val="autoZero"/>
        <c:auto val="1"/>
        <c:lblAlgn val="ctr"/>
        <c:lblOffset val="100"/>
        <c:noMultiLvlLbl val="0"/>
      </c:catAx>
      <c:valAx>
        <c:axId val="43776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75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[Attrition Analysis Project.xlsx]Univariate Analysis!PivotTable6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Attrition Trend by Month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'Univariate Analysis'!$B$93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'Univariate Analysis'!$A$94:$A$97</c:f>
              <c:strCache>
                <c:ptCount val="3"/>
                <c:pt idx="0">
                  <c:v>March</c:v>
                </c:pt>
                <c:pt idx="1">
                  <c:v>January</c:v>
                </c:pt>
                <c:pt idx="2">
                  <c:v>February</c:v>
                </c:pt>
              </c:strCache>
            </c:strRef>
          </c:cat>
          <c:val>
            <c:numRef>
              <c:f>'Univariate Analysis'!$B$94:$B$97</c:f>
              <c:numCache>
                <c:formatCode>General</c:formatCode>
                <c:ptCount val="3"/>
                <c:pt idx="0">
                  <c:v>41</c:v>
                </c:pt>
                <c:pt idx="1">
                  <c:v>42</c:v>
                </c:pt>
                <c:pt idx="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D-4C27-87AF-73FF65D6D7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6567616"/>
        <c:axId val="916569536"/>
      </c:barChart>
      <c:catAx>
        <c:axId val="91656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569536"/>
        <c:crosses val="autoZero"/>
        <c:auto val="1"/>
        <c:lblAlgn val="ctr"/>
        <c:lblOffset val="100"/>
        <c:noMultiLvlLbl val="0"/>
      </c:catAx>
      <c:valAx>
        <c:axId val="916569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5676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 Analysis Project.xlsx]Bi-Variate Analysis!PivotTable12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Reasons vs Satisfaction Level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'Bi-Variate Analysis'!$B$1:$B$2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Analysis'!$A$3:$A$15</c:f>
              <c:strCache>
                <c:ptCount val="12"/>
                <c:pt idx="0">
                  <c:v>Higher education</c:v>
                </c:pt>
                <c:pt idx="1">
                  <c:v>House construction</c:v>
                </c:pt>
                <c:pt idx="2">
                  <c:v>Not Defined</c:v>
                </c:pt>
                <c:pt idx="3">
                  <c:v>Marriage</c:v>
                </c:pt>
                <c:pt idx="4">
                  <c:v>Salary hold issue</c:v>
                </c:pt>
                <c:pt idx="5">
                  <c:v>Exams</c:v>
                </c:pt>
                <c:pt idx="6">
                  <c:v>Contractor behaviour was not good</c:v>
                </c:pt>
                <c:pt idx="7">
                  <c:v>Health Issues</c:v>
                </c:pt>
                <c:pt idx="8">
                  <c:v>Absconded</c:v>
                </c:pt>
                <c:pt idx="9">
                  <c:v>Personal reasons</c:v>
                </c:pt>
                <c:pt idx="10">
                  <c:v>Better Opportunity</c:v>
                </c:pt>
                <c:pt idx="11">
                  <c:v>Not satisfied with salary</c:v>
                </c:pt>
              </c:strCache>
            </c:strRef>
          </c:cat>
          <c:val>
            <c:numRef>
              <c:f>'Bi-Variate Analysis'!$B$3:$B$15</c:f>
              <c:numCache>
                <c:formatCode>General</c:formatCode>
                <c:ptCount val="12"/>
                <c:pt idx="4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6-4719-A515-19603DB9BCE6}"/>
            </c:ext>
          </c:extLst>
        </c:ser>
        <c:ser>
          <c:idx val="1"/>
          <c:order val="1"/>
          <c:tx>
            <c:strRef>
              <c:f>'Bi-Variate Analysis'!$C$1:$C$2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Analysis'!$A$3:$A$15</c:f>
              <c:strCache>
                <c:ptCount val="12"/>
                <c:pt idx="0">
                  <c:v>Higher education</c:v>
                </c:pt>
                <c:pt idx="1">
                  <c:v>House construction</c:v>
                </c:pt>
                <c:pt idx="2">
                  <c:v>Not Defined</c:v>
                </c:pt>
                <c:pt idx="3">
                  <c:v>Marriage</c:v>
                </c:pt>
                <c:pt idx="4">
                  <c:v>Salary hold issue</c:v>
                </c:pt>
                <c:pt idx="5">
                  <c:v>Exams</c:v>
                </c:pt>
                <c:pt idx="6">
                  <c:v>Contractor behaviour was not good</c:v>
                </c:pt>
                <c:pt idx="7">
                  <c:v>Health Issues</c:v>
                </c:pt>
                <c:pt idx="8">
                  <c:v>Absconded</c:v>
                </c:pt>
                <c:pt idx="9">
                  <c:v>Personal reasons</c:v>
                </c:pt>
                <c:pt idx="10">
                  <c:v>Better Opportunity</c:v>
                </c:pt>
                <c:pt idx="11">
                  <c:v>Not satisfied with salary</c:v>
                </c:pt>
              </c:strCache>
            </c:strRef>
          </c:cat>
          <c:val>
            <c:numRef>
              <c:f>'Bi-Variate Analysis'!$C$3:$C$15</c:f>
              <c:numCache>
                <c:formatCode>General</c:formatCode>
                <c:ptCount val="12"/>
                <c:pt idx="7">
                  <c:v>2</c:v>
                </c:pt>
                <c:pt idx="8">
                  <c:v>3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66-4719-A515-19603DB9BCE6}"/>
            </c:ext>
          </c:extLst>
        </c:ser>
        <c:ser>
          <c:idx val="2"/>
          <c:order val="2"/>
          <c:tx>
            <c:strRef>
              <c:f>'Bi-Variate Analysis'!$D$1:$D$2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Analysis'!$A$3:$A$15</c:f>
              <c:strCache>
                <c:ptCount val="12"/>
                <c:pt idx="0">
                  <c:v>Higher education</c:v>
                </c:pt>
                <c:pt idx="1">
                  <c:v>House construction</c:v>
                </c:pt>
                <c:pt idx="2">
                  <c:v>Not Defined</c:v>
                </c:pt>
                <c:pt idx="3">
                  <c:v>Marriage</c:v>
                </c:pt>
                <c:pt idx="4">
                  <c:v>Salary hold issue</c:v>
                </c:pt>
                <c:pt idx="5">
                  <c:v>Exams</c:v>
                </c:pt>
                <c:pt idx="6">
                  <c:v>Contractor behaviour was not good</c:v>
                </c:pt>
                <c:pt idx="7">
                  <c:v>Health Issues</c:v>
                </c:pt>
                <c:pt idx="8">
                  <c:v>Absconded</c:v>
                </c:pt>
                <c:pt idx="9">
                  <c:v>Personal reasons</c:v>
                </c:pt>
                <c:pt idx="10">
                  <c:v>Better Opportunity</c:v>
                </c:pt>
                <c:pt idx="11">
                  <c:v>Not satisfied with salary</c:v>
                </c:pt>
              </c:strCache>
            </c:strRef>
          </c:cat>
          <c:val>
            <c:numRef>
              <c:f>'Bi-Variate Analysis'!$D$3:$D$15</c:f>
              <c:numCache>
                <c:formatCode>General</c:formatCode>
                <c:ptCount val="12"/>
                <c:pt idx="0">
                  <c:v>1</c:v>
                </c:pt>
                <c:pt idx="3">
                  <c:v>1</c:v>
                </c:pt>
                <c:pt idx="5">
                  <c:v>3</c:v>
                </c:pt>
                <c:pt idx="7">
                  <c:v>4</c:v>
                </c:pt>
                <c:pt idx="9">
                  <c:v>14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66-4719-A515-19603DB9BCE6}"/>
            </c:ext>
          </c:extLst>
        </c:ser>
        <c:ser>
          <c:idx val="3"/>
          <c:order val="3"/>
          <c:tx>
            <c:strRef>
              <c:f>'Bi-Variate Analysis'!$E$1:$E$2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Analysis'!$A$3:$A$15</c:f>
              <c:strCache>
                <c:ptCount val="12"/>
                <c:pt idx="0">
                  <c:v>Higher education</c:v>
                </c:pt>
                <c:pt idx="1">
                  <c:v>House construction</c:v>
                </c:pt>
                <c:pt idx="2">
                  <c:v>Not Defined</c:v>
                </c:pt>
                <c:pt idx="3">
                  <c:v>Marriage</c:v>
                </c:pt>
                <c:pt idx="4">
                  <c:v>Salary hold issue</c:v>
                </c:pt>
                <c:pt idx="5">
                  <c:v>Exams</c:v>
                </c:pt>
                <c:pt idx="6">
                  <c:v>Contractor behaviour was not good</c:v>
                </c:pt>
                <c:pt idx="7">
                  <c:v>Health Issues</c:v>
                </c:pt>
                <c:pt idx="8">
                  <c:v>Absconded</c:v>
                </c:pt>
                <c:pt idx="9">
                  <c:v>Personal reasons</c:v>
                </c:pt>
                <c:pt idx="10">
                  <c:v>Better Opportunity</c:v>
                </c:pt>
                <c:pt idx="11">
                  <c:v>Not satisfied with salary</c:v>
                </c:pt>
              </c:strCache>
            </c:strRef>
          </c:cat>
          <c:val>
            <c:numRef>
              <c:f>'Bi-Variate Analysis'!$E$3:$E$15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3">
                  <c:v>2</c:v>
                </c:pt>
                <c:pt idx="7">
                  <c:v>1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66-4719-A515-19603DB9BCE6}"/>
            </c:ext>
          </c:extLst>
        </c:ser>
        <c:ser>
          <c:idx val="4"/>
          <c:order val="4"/>
          <c:tx>
            <c:strRef>
              <c:f>'Bi-Variate Analysis'!$F$1:$F$2</c:f>
              <c:strCache>
                <c:ptCount val="1"/>
                <c:pt idx="0">
                  <c:v>Not Defined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Analysis'!$A$3:$A$15</c:f>
              <c:strCache>
                <c:ptCount val="12"/>
                <c:pt idx="0">
                  <c:v>Higher education</c:v>
                </c:pt>
                <c:pt idx="1">
                  <c:v>House construction</c:v>
                </c:pt>
                <c:pt idx="2">
                  <c:v>Not Defined</c:v>
                </c:pt>
                <c:pt idx="3">
                  <c:v>Marriage</c:v>
                </c:pt>
                <c:pt idx="4">
                  <c:v>Salary hold issue</c:v>
                </c:pt>
                <c:pt idx="5">
                  <c:v>Exams</c:v>
                </c:pt>
                <c:pt idx="6">
                  <c:v>Contractor behaviour was not good</c:v>
                </c:pt>
                <c:pt idx="7">
                  <c:v>Health Issues</c:v>
                </c:pt>
                <c:pt idx="8">
                  <c:v>Absconded</c:v>
                </c:pt>
                <c:pt idx="9">
                  <c:v>Personal reasons</c:v>
                </c:pt>
                <c:pt idx="10">
                  <c:v>Better Opportunity</c:v>
                </c:pt>
                <c:pt idx="11">
                  <c:v>Not satisfied with salary</c:v>
                </c:pt>
              </c:strCache>
            </c:strRef>
          </c:cat>
          <c:val>
            <c:numRef>
              <c:f>'Bi-Variate Analysis'!$F$3:$F$15</c:f>
              <c:numCache>
                <c:formatCode>General</c:formatCode>
                <c:ptCount val="12"/>
                <c:pt idx="2">
                  <c:v>60</c:v>
                </c:pt>
                <c:pt idx="6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66-4719-A515-19603DB9BC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35380352"/>
        <c:axId val="935382272"/>
      </c:barChart>
      <c:catAx>
        <c:axId val="935380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382272"/>
        <c:crosses val="autoZero"/>
        <c:auto val="1"/>
        <c:lblAlgn val="ctr"/>
        <c:lblOffset val="100"/>
        <c:noMultiLvlLbl val="0"/>
      </c:catAx>
      <c:valAx>
        <c:axId val="93538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38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 Analysis Project.xlsx]Bi-Variate Analysis!PivotTable13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Satisfaction vs Willingness to Rejoin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'Bi-Variate Analysis'!$B$36:$B$37</c:f>
              <c:strCache>
                <c:ptCount val="1"/>
                <c:pt idx="0">
                  <c:v>Can not say right now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Analysis'!$A$38:$A$43</c:f>
              <c:strCache>
                <c:ptCount val="5"/>
                <c:pt idx="0">
                  <c:v>2</c:v>
                </c:pt>
                <c:pt idx="1">
                  <c:v>Not Defined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</c:strCache>
            </c:strRef>
          </c:cat>
          <c:val>
            <c:numRef>
              <c:f>'Bi-Variate Analysis'!$B$38:$B$43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1C-4F98-80DE-388886653003}"/>
            </c:ext>
          </c:extLst>
        </c:ser>
        <c:ser>
          <c:idx val="1"/>
          <c:order val="1"/>
          <c:tx>
            <c:strRef>
              <c:f>'Bi-Variate Analysis'!$C$36:$C$37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Analysis'!$A$38:$A$43</c:f>
              <c:strCache>
                <c:ptCount val="5"/>
                <c:pt idx="0">
                  <c:v>2</c:v>
                </c:pt>
                <c:pt idx="1">
                  <c:v>Not Defined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</c:strCache>
            </c:strRef>
          </c:cat>
          <c:val>
            <c:numRef>
              <c:f>'Bi-Variate Analysis'!$C$38:$C$43</c:f>
              <c:numCache>
                <c:formatCode>General</c:formatCode>
                <c:ptCount val="5"/>
                <c:pt idx="0">
                  <c:v>7</c:v>
                </c:pt>
                <c:pt idx="1">
                  <c:v>1</c:v>
                </c:pt>
                <c:pt idx="2">
                  <c:v>19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1C-4F98-80DE-388886653003}"/>
            </c:ext>
          </c:extLst>
        </c:ser>
        <c:ser>
          <c:idx val="2"/>
          <c:order val="2"/>
          <c:tx>
            <c:strRef>
              <c:f>'Bi-Variate Analysis'!$D$36:$D$37</c:f>
              <c:strCache>
                <c:ptCount val="1"/>
                <c:pt idx="0">
                  <c:v>No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Analysis'!$A$38:$A$43</c:f>
              <c:strCache>
                <c:ptCount val="5"/>
                <c:pt idx="0">
                  <c:v>2</c:v>
                </c:pt>
                <c:pt idx="1">
                  <c:v>Not Defined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</c:strCache>
            </c:strRef>
          </c:cat>
          <c:val>
            <c:numRef>
              <c:f>'Bi-Variate Analysis'!$D$38:$D$43</c:f>
              <c:numCache>
                <c:formatCode>General</c:formatCode>
                <c:ptCount val="5"/>
                <c:pt idx="0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1C-4F98-80DE-388886653003}"/>
            </c:ext>
          </c:extLst>
        </c:ser>
        <c:ser>
          <c:idx val="3"/>
          <c:order val="3"/>
          <c:tx>
            <c:strRef>
              <c:f>'Bi-Variate Analysis'!$E$36:$E$37</c:f>
              <c:strCache>
                <c:ptCount val="1"/>
                <c:pt idx="0">
                  <c:v>Not Defined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Analysis'!$A$38:$A$43</c:f>
              <c:strCache>
                <c:ptCount val="5"/>
                <c:pt idx="0">
                  <c:v>2</c:v>
                </c:pt>
                <c:pt idx="1">
                  <c:v>Not Defined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</c:strCache>
            </c:strRef>
          </c:cat>
          <c:val>
            <c:numRef>
              <c:f>'Bi-Variate Analysis'!$E$38:$E$43</c:f>
              <c:numCache>
                <c:formatCode>General</c:formatCode>
                <c:ptCount val="5"/>
                <c:pt idx="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1C-4F98-80DE-388886653003}"/>
            </c:ext>
          </c:extLst>
        </c:ser>
        <c:ser>
          <c:idx val="4"/>
          <c:order val="4"/>
          <c:tx>
            <c:strRef>
              <c:f>'Bi-Variate Analysis'!$F$36:$F$37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Analysis'!$A$38:$A$43</c:f>
              <c:strCache>
                <c:ptCount val="5"/>
                <c:pt idx="0">
                  <c:v>2</c:v>
                </c:pt>
                <c:pt idx="1">
                  <c:v>Not Defined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</c:strCache>
            </c:strRef>
          </c:cat>
          <c:val>
            <c:numRef>
              <c:f>'Bi-Variate Analysis'!$F$38:$F$43</c:f>
              <c:numCache>
                <c:formatCode>General</c:formatCode>
                <c:ptCount val="5"/>
                <c:pt idx="2">
                  <c:v>1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1C-4F98-80DE-3888866530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35389952"/>
        <c:axId val="935390432"/>
      </c:barChart>
      <c:catAx>
        <c:axId val="93538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390432"/>
        <c:crosses val="autoZero"/>
        <c:auto val="1"/>
        <c:lblAlgn val="ctr"/>
        <c:lblOffset val="100"/>
        <c:noMultiLvlLbl val="0"/>
      </c:catAx>
      <c:valAx>
        <c:axId val="935390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38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 Analysis Project.xlsx]Bi-Variate Analysis!PivotTable15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Contractor vs Reason for Leaving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'Bi-Variate Analysis'!$B$63:$B$64</c:f>
              <c:strCache>
                <c:ptCount val="1"/>
                <c:pt idx="0">
                  <c:v>Absconded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Analysis'!$A$65:$A$70</c:f>
              <c:strCache>
                <c:ptCount val="5"/>
                <c:pt idx="0">
                  <c:v>ARMS NAPS</c:v>
                </c:pt>
                <c:pt idx="1">
                  <c:v>B4S SOLUTION PVT LTD</c:v>
                </c:pt>
                <c:pt idx="2">
                  <c:v>HARBIR SINGH CONTRACTOR</c:v>
                </c:pt>
                <c:pt idx="3">
                  <c:v>NAVARNA BHARAT</c:v>
                </c:pt>
                <c:pt idx="4">
                  <c:v>SANJEERA</c:v>
                </c:pt>
              </c:strCache>
            </c:strRef>
          </c:cat>
          <c:val>
            <c:numRef>
              <c:f>'Bi-Variate Analysis'!$B$65:$B$70</c:f>
              <c:numCache>
                <c:formatCode>General</c:formatCode>
                <c:ptCount val="5"/>
                <c:pt idx="2">
                  <c:v>1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1-42A5-B682-50E7AF6C8B85}"/>
            </c:ext>
          </c:extLst>
        </c:ser>
        <c:ser>
          <c:idx val="1"/>
          <c:order val="1"/>
          <c:tx>
            <c:strRef>
              <c:f>'Bi-Variate Analysis'!$C$63:$C$64</c:f>
              <c:strCache>
                <c:ptCount val="1"/>
                <c:pt idx="0">
                  <c:v>Better Opportunity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Analysis'!$A$65:$A$70</c:f>
              <c:strCache>
                <c:ptCount val="5"/>
                <c:pt idx="0">
                  <c:v>ARMS NAPS</c:v>
                </c:pt>
                <c:pt idx="1">
                  <c:v>B4S SOLUTION PVT LTD</c:v>
                </c:pt>
                <c:pt idx="2">
                  <c:v>HARBIR SINGH CONTRACTOR</c:v>
                </c:pt>
                <c:pt idx="3">
                  <c:v>NAVARNA BHARAT</c:v>
                </c:pt>
                <c:pt idx="4">
                  <c:v>SANJEERA</c:v>
                </c:pt>
              </c:strCache>
            </c:strRef>
          </c:cat>
          <c:val>
            <c:numRef>
              <c:f>'Bi-Variate Analysis'!$C$65:$C$70</c:f>
              <c:numCache>
                <c:formatCode>General</c:formatCode>
                <c:ptCount val="5"/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71-42A5-B682-50E7AF6C8B85}"/>
            </c:ext>
          </c:extLst>
        </c:ser>
        <c:ser>
          <c:idx val="2"/>
          <c:order val="2"/>
          <c:tx>
            <c:strRef>
              <c:f>'Bi-Variate Analysis'!$D$63:$D$64</c:f>
              <c:strCache>
                <c:ptCount val="1"/>
                <c:pt idx="0">
                  <c:v>Contractor behaviour was not good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Analysis'!$A$65:$A$70</c:f>
              <c:strCache>
                <c:ptCount val="5"/>
                <c:pt idx="0">
                  <c:v>ARMS NAPS</c:v>
                </c:pt>
                <c:pt idx="1">
                  <c:v>B4S SOLUTION PVT LTD</c:v>
                </c:pt>
                <c:pt idx="2">
                  <c:v>HARBIR SINGH CONTRACTOR</c:v>
                </c:pt>
                <c:pt idx="3">
                  <c:v>NAVARNA BHARAT</c:v>
                </c:pt>
                <c:pt idx="4">
                  <c:v>SANJEERA</c:v>
                </c:pt>
              </c:strCache>
            </c:strRef>
          </c:cat>
          <c:val>
            <c:numRef>
              <c:f>'Bi-Variate Analysis'!$D$65:$D$70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71-42A5-B682-50E7AF6C8B85}"/>
            </c:ext>
          </c:extLst>
        </c:ser>
        <c:ser>
          <c:idx val="3"/>
          <c:order val="3"/>
          <c:tx>
            <c:strRef>
              <c:f>'Bi-Variate Analysis'!$E$63:$E$64</c:f>
              <c:strCache>
                <c:ptCount val="1"/>
                <c:pt idx="0">
                  <c:v>Exams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Analysis'!$A$65:$A$70</c:f>
              <c:strCache>
                <c:ptCount val="5"/>
                <c:pt idx="0">
                  <c:v>ARMS NAPS</c:v>
                </c:pt>
                <c:pt idx="1">
                  <c:v>B4S SOLUTION PVT LTD</c:v>
                </c:pt>
                <c:pt idx="2">
                  <c:v>HARBIR SINGH CONTRACTOR</c:v>
                </c:pt>
                <c:pt idx="3">
                  <c:v>NAVARNA BHARAT</c:v>
                </c:pt>
                <c:pt idx="4">
                  <c:v>SANJEERA</c:v>
                </c:pt>
              </c:strCache>
            </c:strRef>
          </c:cat>
          <c:val>
            <c:numRef>
              <c:f>'Bi-Variate Analysis'!$E$65:$E$70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71-42A5-B682-50E7AF6C8B85}"/>
            </c:ext>
          </c:extLst>
        </c:ser>
        <c:ser>
          <c:idx val="4"/>
          <c:order val="4"/>
          <c:tx>
            <c:strRef>
              <c:f>'Bi-Variate Analysis'!$F$63:$F$64</c:f>
              <c:strCache>
                <c:ptCount val="1"/>
                <c:pt idx="0">
                  <c:v>Health Issues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Analysis'!$A$65:$A$70</c:f>
              <c:strCache>
                <c:ptCount val="5"/>
                <c:pt idx="0">
                  <c:v>ARMS NAPS</c:v>
                </c:pt>
                <c:pt idx="1">
                  <c:v>B4S SOLUTION PVT LTD</c:v>
                </c:pt>
                <c:pt idx="2">
                  <c:v>HARBIR SINGH CONTRACTOR</c:v>
                </c:pt>
                <c:pt idx="3">
                  <c:v>NAVARNA BHARAT</c:v>
                </c:pt>
                <c:pt idx="4">
                  <c:v>SANJEERA</c:v>
                </c:pt>
              </c:strCache>
            </c:strRef>
          </c:cat>
          <c:val>
            <c:numRef>
              <c:f>'Bi-Variate Analysis'!$F$65:$F$70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71-42A5-B682-50E7AF6C8B85}"/>
            </c:ext>
          </c:extLst>
        </c:ser>
        <c:ser>
          <c:idx val="5"/>
          <c:order val="5"/>
          <c:tx>
            <c:strRef>
              <c:f>'Bi-Variate Analysis'!$G$63:$G$64</c:f>
              <c:strCache>
                <c:ptCount val="1"/>
                <c:pt idx="0">
                  <c:v>Higher education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Analysis'!$A$65:$A$70</c:f>
              <c:strCache>
                <c:ptCount val="5"/>
                <c:pt idx="0">
                  <c:v>ARMS NAPS</c:v>
                </c:pt>
                <c:pt idx="1">
                  <c:v>B4S SOLUTION PVT LTD</c:v>
                </c:pt>
                <c:pt idx="2">
                  <c:v>HARBIR SINGH CONTRACTOR</c:v>
                </c:pt>
                <c:pt idx="3">
                  <c:v>NAVARNA BHARAT</c:v>
                </c:pt>
                <c:pt idx="4">
                  <c:v>SANJEERA</c:v>
                </c:pt>
              </c:strCache>
            </c:strRef>
          </c:cat>
          <c:val>
            <c:numRef>
              <c:f>'Bi-Variate Analysis'!$G$65:$G$70</c:f>
              <c:numCache>
                <c:formatCode>General</c:formatCode>
                <c:ptCount val="5"/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71-42A5-B682-50E7AF6C8B85}"/>
            </c:ext>
          </c:extLst>
        </c:ser>
        <c:ser>
          <c:idx val="6"/>
          <c:order val="6"/>
          <c:tx>
            <c:strRef>
              <c:f>'Bi-Variate Analysis'!$H$63:$H$64</c:f>
              <c:strCache>
                <c:ptCount val="1"/>
                <c:pt idx="0">
                  <c:v>House construction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Analysis'!$A$65:$A$70</c:f>
              <c:strCache>
                <c:ptCount val="5"/>
                <c:pt idx="0">
                  <c:v>ARMS NAPS</c:v>
                </c:pt>
                <c:pt idx="1">
                  <c:v>B4S SOLUTION PVT LTD</c:v>
                </c:pt>
                <c:pt idx="2">
                  <c:v>HARBIR SINGH CONTRACTOR</c:v>
                </c:pt>
                <c:pt idx="3">
                  <c:v>NAVARNA BHARAT</c:v>
                </c:pt>
                <c:pt idx="4">
                  <c:v>SANJEERA</c:v>
                </c:pt>
              </c:strCache>
            </c:strRef>
          </c:cat>
          <c:val>
            <c:numRef>
              <c:f>'Bi-Variate Analysis'!$H$65:$H$70</c:f>
              <c:numCache>
                <c:formatCode>General</c:formatCode>
                <c:ptCount val="5"/>
                <c:pt idx="0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71-42A5-B682-50E7AF6C8B85}"/>
            </c:ext>
          </c:extLst>
        </c:ser>
        <c:ser>
          <c:idx val="7"/>
          <c:order val="7"/>
          <c:tx>
            <c:strRef>
              <c:f>'Bi-Variate Analysis'!$I$63:$I$64</c:f>
              <c:strCache>
                <c:ptCount val="1"/>
                <c:pt idx="0">
                  <c:v>Marriage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Analysis'!$A$65:$A$70</c:f>
              <c:strCache>
                <c:ptCount val="5"/>
                <c:pt idx="0">
                  <c:v>ARMS NAPS</c:v>
                </c:pt>
                <c:pt idx="1">
                  <c:v>B4S SOLUTION PVT LTD</c:v>
                </c:pt>
                <c:pt idx="2">
                  <c:v>HARBIR SINGH CONTRACTOR</c:v>
                </c:pt>
                <c:pt idx="3">
                  <c:v>NAVARNA BHARAT</c:v>
                </c:pt>
                <c:pt idx="4">
                  <c:v>SANJEERA</c:v>
                </c:pt>
              </c:strCache>
            </c:strRef>
          </c:cat>
          <c:val>
            <c:numRef>
              <c:f>'Bi-Variate Analysis'!$I$65:$I$70</c:f>
              <c:numCache>
                <c:formatCode>General</c:formatCode>
                <c:ptCount val="5"/>
                <c:pt idx="1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D71-42A5-B682-50E7AF6C8B85}"/>
            </c:ext>
          </c:extLst>
        </c:ser>
        <c:ser>
          <c:idx val="8"/>
          <c:order val="8"/>
          <c:tx>
            <c:strRef>
              <c:f>'Bi-Variate Analysis'!$J$63:$J$64</c:f>
              <c:strCache>
                <c:ptCount val="1"/>
                <c:pt idx="0">
                  <c:v>Not Defined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Analysis'!$A$65:$A$70</c:f>
              <c:strCache>
                <c:ptCount val="5"/>
                <c:pt idx="0">
                  <c:v>ARMS NAPS</c:v>
                </c:pt>
                <c:pt idx="1">
                  <c:v>B4S SOLUTION PVT LTD</c:v>
                </c:pt>
                <c:pt idx="2">
                  <c:v>HARBIR SINGH CONTRACTOR</c:v>
                </c:pt>
                <c:pt idx="3">
                  <c:v>NAVARNA BHARAT</c:v>
                </c:pt>
                <c:pt idx="4">
                  <c:v>SANJEERA</c:v>
                </c:pt>
              </c:strCache>
            </c:strRef>
          </c:cat>
          <c:val>
            <c:numRef>
              <c:f>'Bi-Variate Analysis'!$J$65:$J$70</c:f>
              <c:numCache>
                <c:formatCode>General</c:formatCode>
                <c:ptCount val="5"/>
                <c:pt idx="0">
                  <c:v>13</c:v>
                </c:pt>
                <c:pt idx="1">
                  <c:v>10</c:v>
                </c:pt>
                <c:pt idx="2">
                  <c:v>12</c:v>
                </c:pt>
                <c:pt idx="3">
                  <c:v>11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71-42A5-B682-50E7AF6C8B85}"/>
            </c:ext>
          </c:extLst>
        </c:ser>
        <c:ser>
          <c:idx val="9"/>
          <c:order val="9"/>
          <c:tx>
            <c:strRef>
              <c:f>'Bi-Variate Analysis'!$K$63:$K$64</c:f>
              <c:strCache>
                <c:ptCount val="1"/>
                <c:pt idx="0">
                  <c:v>Not satisfied with salary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Analysis'!$A$65:$A$70</c:f>
              <c:strCache>
                <c:ptCount val="5"/>
                <c:pt idx="0">
                  <c:v>ARMS NAPS</c:v>
                </c:pt>
                <c:pt idx="1">
                  <c:v>B4S SOLUTION PVT LTD</c:v>
                </c:pt>
                <c:pt idx="2">
                  <c:v>HARBIR SINGH CONTRACTOR</c:v>
                </c:pt>
                <c:pt idx="3">
                  <c:v>NAVARNA BHARAT</c:v>
                </c:pt>
                <c:pt idx="4">
                  <c:v>SANJEERA</c:v>
                </c:pt>
              </c:strCache>
            </c:strRef>
          </c:cat>
          <c:val>
            <c:numRef>
              <c:f>'Bi-Variate Analysis'!$K$65:$K$70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D71-42A5-B682-50E7AF6C8B85}"/>
            </c:ext>
          </c:extLst>
        </c:ser>
        <c:ser>
          <c:idx val="10"/>
          <c:order val="10"/>
          <c:tx>
            <c:strRef>
              <c:f>'Bi-Variate Analysis'!$L$63:$L$64</c:f>
              <c:strCache>
                <c:ptCount val="1"/>
                <c:pt idx="0">
                  <c:v>Personal reasons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Analysis'!$A$65:$A$70</c:f>
              <c:strCache>
                <c:ptCount val="5"/>
                <c:pt idx="0">
                  <c:v>ARMS NAPS</c:v>
                </c:pt>
                <c:pt idx="1">
                  <c:v>B4S SOLUTION PVT LTD</c:v>
                </c:pt>
                <c:pt idx="2">
                  <c:v>HARBIR SINGH CONTRACTOR</c:v>
                </c:pt>
                <c:pt idx="3">
                  <c:v>NAVARNA BHARAT</c:v>
                </c:pt>
                <c:pt idx="4">
                  <c:v>SANJEERA</c:v>
                </c:pt>
              </c:strCache>
            </c:strRef>
          </c:cat>
          <c:val>
            <c:numRef>
              <c:f>'Bi-Variate Analysis'!$L$65:$L$70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D71-42A5-B682-50E7AF6C8B85}"/>
            </c:ext>
          </c:extLst>
        </c:ser>
        <c:ser>
          <c:idx val="11"/>
          <c:order val="11"/>
          <c:tx>
            <c:strRef>
              <c:f>'Bi-Variate Analysis'!$M$63:$M$64</c:f>
              <c:strCache>
                <c:ptCount val="1"/>
                <c:pt idx="0">
                  <c:v>Salary hold issue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'Bi-Variate Analysis'!$A$65:$A$70</c:f>
              <c:strCache>
                <c:ptCount val="5"/>
                <c:pt idx="0">
                  <c:v>ARMS NAPS</c:v>
                </c:pt>
                <c:pt idx="1">
                  <c:v>B4S SOLUTION PVT LTD</c:v>
                </c:pt>
                <c:pt idx="2">
                  <c:v>HARBIR SINGH CONTRACTOR</c:v>
                </c:pt>
                <c:pt idx="3">
                  <c:v>NAVARNA BHARAT</c:v>
                </c:pt>
                <c:pt idx="4">
                  <c:v>SANJEERA</c:v>
                </c:pt>
              </c:strCache>
            </c:strRef>
          </c:cat>
          <c:val>
            <c:numRef>
              <c:f>'Bi-Variate Analysis'!$M$65:$M$70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D71-42A5-B682-50E7AF6C8B8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46544048"/>
        <c:axId val="946553168"/>
      </c:barChart>
      <c:catAx>
        <c:axId val="946544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553168"/>
        <c:crosses val="autoZero"/>
        <c:auto val="1"/>
        <c:lblAlgn val="ctr"/>
        <c:lblOffset val="100"/>
        <c:noMultiLvlLbl val="0"/>
      </c:catAx>
      <c:valAx>
        <c:axId val="94655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54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'Attrition Calculation'!$C$10</c:f>
              <c:strCache>
                <c:ptCount val="1"/>
                <c:pt idx="0">
                  <c:v>YTD Attrition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'Attrition Calculation'!$B$11:$B$18</c:f>
              <c:strCache>
                <c:ptCount val="8"/>
                <c:pt idx="0">
                  <c:v>IPD Gr. Noida</c:v>
                </c:pt>
                <c:pt idx="1">
                  <c:v>DCD Gr. Noida</c:v>
                </c:pt>
                <c:pt idx="2">
                  <c:v>SMIT Pune</c:v>
                </c:pt>
                <c:pt idx="3">
                  <c:v>WHD Haridwar</c:v>
                </c:pt>
                <c:pt idx="4">
                  <c:v>WHD Pithampur</c:v>
                </c:pt>
                <c:pt idx="5">
                  <c:v>GCO</c:v>
                </c:pt>
                <c:pt idx="6">
                  <c:v>SSD pune</c:v>
                </c:pt>
                <c:pt idx="7">
                  <c:v>MVAST Pune</c:v>
                </c:pt>
              </c:strCache>
            </c:strRef>
          </c:cat>
          <c:val>
            <c:numRef>
              <c:f>'Attrition Calculation'!$C$11:$C$18</c:f>
              <c:numCache>
                <c:formatCode>0%</c:formatCode>
                <c:ptCount val="8"/>
                <c:pt idx="0">
                  <c:v>0.13</c:v>
                </c:pt>
                <c:pt idx="1">
                  <c:v>0.12</c:v>
                </c:pt>
                <c:pt idx="2">
                  <c:v>0.14000000000000001</c:v>
                </c:pt>
                <c:pt idx="3">
                  <c:v>0.09</c:v>
                </c:pt>
                <c:pt idx="4">
                  <c:v>0.06</c:v>
                </c:pt>
                <c:pt idx="5">
                  <c:v>0.08</c:v>
                </c:pt>
                <c:pt idx="6">
                  <c:v>0.11</c:v>
                </c:pt>
                <c:pt idx="7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F-4B8F-8D48-B748DB2BC1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59242719"/>
        <c:axId val="1859251359"/>
      </c:barChart>
      <c:catAx>
        <c:axId val="185924271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251359"/>
        <c:crosses val="autoZero"/>
        <c:auto val="1"/>
        <c:lblAlgn val="ctr"/>
        <c:lblOffset val="100"/>
        <c:noMultiLvlLbl val="0"/>
      </c:catAx>
      <c:valAx>
        <c:axId val="185925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242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0</xdr:row>
      <xdr:rowOff>185737</xdr:rowOff>
    </xdr:from>
    <xdr:to>
      <xdr:col>10</xdr:col>
      <xdr:colOff>9524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847184-73D9-7727-22B2-29DE34244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609599</xdr:colOff>
      <xdr:row>14</xdr:row>
      <xdr:rowOff>185736</xdr:rowOff>
    </xdr:from>
    <xdr:to>
      <xdr:col>11</xdr:col>
      <xdr:colOff>9524</xdr:colOff>
      <xdr:row>30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BB5A6B-9805-056B-E217-A3628BF9B4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38</xdr:row>
      <xdr:rowOff>4762</xdr:rowOff>
    </xdr:from>
    <xdr:to>
      <xdr:col>11</xdr:col>
      <xdr:colOff>0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5891FD-54A6-5C28-B233-1F808C761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55</xdr:row>
      <xdr:rowOff>4762</xdr:rowOff>
    </xdr:from>
    <xdr:to>
      <xdr:col>11</xdr:col>
      <xdr:colOff>0</xdr:colOff>
      <xdr:row>68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BE56113-3A89-4A40-293E-5D5C6F8C6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609599</xdr:colOff>
      <xdr:row>73</xdr:row>
      <xdr:rowOff>4762</xdr:rowOff>
    </xdr:from>
    <xdr:to>
      <xdr:col>11</xdr:col>
      <xdr:colOff>9524</xdr:colOff>
      <xdr:row>87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474C5C-E7E4-B83D-6527-1D2601774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609599</xdr:colOff>
      <xdr:row>90</xdr:row>
      <xdr:rowOff>4762</xdr:rowOff>
    </xdr:from>
    <xdr:to>
      <xdr:col>11</xdr:col>
      <xdr:colOff>9524</xdr:colOff>
      <xdr:row>104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0C232F0-3F1F-0519-A40B-9434A5169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178945</xdr:rowOff>
    </xdr:from>
    <xdr:to>
      <xdr:col>4</xdr:col>
      <xdr:colOff>110970</xdr:colOff>
      <xdr:row>33</xdr:row>
      <xdr:rowOff>141796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C8EFCD-93CC-6A6A-AF74-C596B4D27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4762</xdr:rowOff>
    </xdr:from>
    <xdr:to>
      <xdr:col>8</xdr:col>
      <xdr:colOff>12057</xdr:colOff>
      <xdr:row>59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6D1E6F-03AE-C377-D99C-08BDA76B2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71</xdr:row>
      <xdr:rowOff>823</xdr:rowOff>
    </xdr:from>
    <xdr:to>
      <xdr:col>11</xdr:col>
      <xdr:colOff>12057</xdr:colOff>
      <xdr:row>86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1642B2-157F-69D6-114A-902C3DB63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1257299</xdr:colOff>
      <xdr:row>8</xdr:row>
      <xdr:rowOff>4762</xdr:rowOff>
    </xdr:from>
    <xdr:to>
      <xdr:col>5</xdr:col>
      <xdr:colOff>1514474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385094-19DD-4B44-0015-045D362F8C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190499</xdr:rowOff>
    </xdr:from>
    <xdr:to>
      <xdr:col>6</xdr:col>
      <xdr:colOff>485774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49E922-10E6-4163-BBFE-C76EF62BD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13</xdr:col>
      <xdr:colOff>514350</xdr:colOff>
      <xdr:row>15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285809-E9D1-40C7-A9F0-279022F6E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</xdr:colOff>
      <xdr:row>2</xdr:row>
      <xdr:rowOff>0</xdr:rowOff>
    </xdr:from>
    <xdr:to>
      <xdr:col>20</xdr:col>
      <xdr:colOff>46892</xdr:colOff>
      <xdr:row>15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FB15AC-C5BF-45F0-AF87-888067760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16</xdr:row>
      <xdr:rowOff>1</xdr:rowOff>
    </xdr:from>
    <xdr:to>
      <xdr:col>6</xdr:col>
      <xdr:colOff>485775</xdr:colOff>
      <xdr:row>29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431BF4-5BDE-409F-9574-2E07D573C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13</xdr:col>
      <xdr:colOff>518584</xdr:colOff>
      <xdr:row>28</xdr:row>
      <xdr:rowOff>137583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09C4B2-4E19-4B9F-ACA8-E8A5432EAD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16</xdr:row>
      <xdr:rowOff>0</xdr:rowOff>
    </xdr:from>
    <xdr:to>
      <xdr:col>20</xdr:col>
      <xdr:colOff>42333</xdr:colOff>
      <xdr:row>28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F6F9C5B-A9C5-40F2-8A81-47F777A09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190499</xdr:rowOff>
    </xdr:from>
    <xdr:to>
      <xdr:col>11</xdr:col>
      <xdr:colOff>31750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0F2870-FF23-4190-9DB9-EE4B0EB36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127000</xdr:colOff>
      <xdr:row>2</xdr:row>
      <xdr:rowOff>1</xdr:rowOff>
    </xdr:from>
    <xdr:to>
      <xdr:col>20</xdr:col>
      <xdr:colOff>0</xdr:colOff>
      <xdr:row>15</xdr:row>
      <xdr:rowOff>42334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176680-789A-4297-BAF4-BE8F41789C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190500</xdr:colOff>
      <xdr:row>15</xdr:row>
      <xdr:rowOff>116417</xdr:rowOff>
    </xdr:from>
    <xdr:to>
      <xdr:col>20</xdr:col>
      <xdr:colOff>10583</xdr:colOff>
      <xdr:row>28</xdr:row>
      <xdr:rowOff>137583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1E3609-5D5A-4BE2-B9E2-CE38C462EE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185737</xdr:rowOff>
    </xdr:from>
    <xdr:to>
      <xdr:col>12</xdr:col>
      <xdr:colOff>304800</xdr:colOff>
      <xdr:row>22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F09E3C-4E2A-2C5A-61B5-547175D35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12.016457523147" createdVersion="8" refreshedVersion="8" minRefreshableVersion="3" recordCount="130" xr:uid="{69EDA74D-4F47-433F-9823-9636C5434F92}">
  <cacheSource type="worksheet">
    <worksheetSource ref="A1:G131" sheet="Cleaned Data"/>
  </cacheSource>
  <cacheFields count="7">
    <cacheField name="Gender" numFmtId="9">
      <sharedItems count="2">
        <s v="F"/>
        <s v="M"/>
      </sharedItems>
    </cacheField>
    <cacheField name="Reason For Leaving" numFmtId="0">
      <sharedItems count="12">
        <s v="Not Defined"/>
        <s v="Personal reasons"/>
        <s v="House construction"/>
        <s v="Not satisfied with salary"/>
        <s v="Marriage"/>
        <s v="Exams"/>
        <s v="Better Opportunity"/>
        <s v="Absconded"/>
        <s v="Health Issues"/>
        <s v="Higher education"/>
        <s v="Salary hold issue"/>
        <s v="Contractor behaviour was not good"/>
      </sharedItems>
    </cacheField>
    <cacheField name="Satisfaction Level" numFmtId="0">
      <sharedItems containsMixedTypes="1" containsNumber="1" containsInteger="1" minValue="2" maxValue="5" count="5">
        <s v="Not Defined"/>
        <n v="4"/>
        <n v="5"/>
        <n v="2"/>
        <n v="3"/>
      </sharedItems>
    </cacheField>
    <cacheField name="Agree to work again" numFmtId="0">
      <sharedItems count="6">
        <s v="Not Defined"/>
        <s v="Yes"/>
        <s v="No"/>
        <s v="Can not say right now"/>
        <s v="No "/>
        <s v="Can not say right now." u="1"/>
      </sharedItems>
    </cacheField>
    <cacheField name="Contractor Name" numFmtId="9">
      <sharedItems count="5">
        <s v="HARBIR SINGH CONTRACTOR"/>
        <s v="NAVARNA BHARAT"/>
        <s v="B4S SOLUTION PVT LTD"/>
        <s v="ARMS NAPS"/>
        <s v="SANJEERA"/>
      </sharedItems>
    </cacheField>
    <cacheField name="Termination Date" numFmtId="167">
      <sharedItems containsSemiMixedTypes="0" containsNonDate="0" containsDate="1" containsString="0" minDate="2025-01-03T00:00:00" maxDate="2025-04-01T00:00:00"/>
    </cacheField>
    <cacheField name="Exit Month" numFmtId="0">
      <sharedItems count="3">
        <s v="January"/>
        <s v="February"/>
        <s v="Marc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12.017026620371" createdVersion="8" refreshedVersion="8" minRefreshableVersion="3" recordCount="130" xr:uid="{7E241886-6FCC-4FCC-855B-FC96969DE567}">
  <cacheSource type="worksheet">
    <worksheetSource ref="A1:F131" sheet="Cleaned Data"/>
  </cacheSource>
  <cacheFields count="6">
    <cacheField name="Gender" numFmtId="9">
      <sharedItems count="2">
        <s v="F"/>
        <s v="M"/>
      </sharedItems>
    </cacheField>
    <cacheField name="Reason For Leaving" numFmtId="0">
      <sharedItems count="12">
        <s v="Not Defined"/>
        <s v="Personal reasons"/>
        <s v="House construction"/>
        <s v="Not satisfied with salary"/>
        <s v="Marriage"/>
        <s v="Exams"/>
        <s v="Better Opportunity"/>
        <s v="Absconded"/>
        <s v="Health Issues"/>
        <s v="Higher education"/>
        <s v="Salary hold issue"/>
        <s v="Contractor behaviour was not good"/>
      </sharedItems>
    </cacheField>
    <cacheField name="Satisfaction Level" numFmtId="0">
      <sharedItems containsMixedTypes="1" containsNumber="1" containsInteger="1" minValue="2" maxValue="5" count="5">
        <s v="Not Defined"/>
        <n v="4"/>
        <n v="5"/>
        <n v="2"/>
        <n v="3"/>
      </sharedItems>
    </cacheField>
    <cacheField name="Agree to work again" numFmtId="0">
      <sharedItems count="6">
        <s v="Not Defined"/>
        <s v="Yes"/>
        <s v="No"/>
        <s v="Can not say right now"/>
        <s v="No "/>
        <s v="Can not say right now." u="1"/>
      </sharedItems>
    </cacheField>
    <cacheField name="Contractor Name" numFmtId="9">
      <sharedItems count="5">
        <s v="HARBIR SINGH CONTRACTOR"/>
        <s v="NAVARNA BHARAT"/>
        <s v="B4S SOLUTION PVT LTD"/>
        <s v="ARMS NAPS"/>
        <s v="SANJEERA"/>
      </sharedItems>
    </cacheField>
    <cacheField name="Termination Date" numFmtId="167">
      <sharedItems containsSemiMixedTypes="0" containsNonDate="0" containsDate="1" containsString="0" minDate="2025-01-03T00:00:00" maxDate="2025-04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x v="0"/>
    <x v="0"/>
    <x v="0"/>
    <x v="0"/>
    <x v="0"/>
    <d v="2025-01-03T00:00:00"/>
    <x v="0"/>
  </r>
  <r>
    <x v="1"/>
    <x v="0"/>
    <x v="0"/>
    <x v="0"/>
    <x v="1"/>
    <d v="2025-01-31T00:00:00"/>
    <x v="0"/>
  </r>
  <r>
    <x v="0"/>
    <x v="1"/>
    <x v="1"/>
    <x v="1"/>
    <x v="2"/>
    <d v="2025-01-10T00:00:00"/>
    <x v="0"/>
  </r>
  <r>
    <x v="1"/>
    <x v="2"/>
    <x v="2"/>
    <x v="1"/>
    <x v="3"/>
    <d v="2025-01-11T00:00:00"/>
    <x v="0"/>
  </r>
  <r>
    <x v="1"/>
    <x v="1"/>
    <x v="3"/>
    <x v="2"/>
    <x v="0"/>
    <d v="2025-01-21T00:00:00"/>
    <x v="0"/>
  </r>
  <r>
    <x v="1"/>
    <x v="1"/>
    <x v="4"/>
    <x v="3"/>
    <x v="3"/>
    <d v="2025-01-24T00:00:00"/>
    <x v="0"/>
  </r>
  <r>
    <x v="1"/>
    <x v="0"/>
    <x v="0"/>
    <x v="0"/>
    <x v="2"/>
    <d v="2025-01-30T00:00:00"/>
    <x v="0"/>
  </r>
  <r>
    <x v="1"/>
    <x v="0"/>
    <x v="0"/>
    <x v="0"/>
    <x v="2"/>
    <d v="2025-01-21T00:00:00"/>
    <x v="0"/>
  </r>
  <r>
    <x v="1"/>
    <x v="3"/>
    <x v="3"/>
    <x v="2"/>
    <x v="4"/>
    <d v="2025-01-16T00:00:00"/>
    <x v="0"/>
  </r>
  <r>
    <x v="1"/>
    <x v="0"/>
    <x v="0"/>
    <x v="0"/>
    <x v="1"/>
    <d v="2025-01-30T00:00:00"/>
    <x v="0"/>
  </r>
  <r>
    <x v="1"/>
    <x v="3"/>
    <x v="3"/>
    <x v="3"/>
    <x v="1"/>
    <d v="2025-01-04T00:00:00"/>
    <x v="0"/>
  </r>
  <r>
    <x v="0"/>
    <x v="4"/>
    <x v="1"/>
    <x v="2"/>
    <x v="4"/>
    <d v="2025-01-27T00:00:00"/>
    <x v="0"/>
  </r>
  <r>
    <x v="1"/>
    <x v="0"/>
    <x v="0"/>
    <x v="0"/>
    <x v="3"/>
    <d v="2025-01-08T00:00:00"/>
    <x v="0"/>
  </r>
  <r>
    <x v="0"/>
    <x v="3"/>
    <x v="4"/>
    <x v="2"/>
    <x v="2"/>
    <d v="2025-01-06T00:00:00"/>
    <x v="0"/>
  </r>
  <r>
    <x v="0"/>
    <x v="5"/>
    <x v="1"/>
    <x v="1"/>
    <x v="2"/>
    <d v="2025-01-06T00:00:00"/>
    <x v="0"/>
  </r>
  <r>
    <x v="1"/>
    <x v="0"/>
    <x v="0"/>
    <x v="0"/>
    <x v="0"/>
    <d v="2025-01-28T00:00:00"/>
    <x v="0"/>
  </r>
  <r>
    <x v="0"/>
    <x v="0"/>
    <x v="0"/>
    <x v="0"/>
    <x v="0"/>
    <d v="2025-01-08T00:00:00"/>
    <x v="0"/>
  </r>
  <r>
    <x v="1"/>
    <x v="6"/>
    <x v="1"/>
    <x v="1"/>
    <x v="0"/>
    <d v="2025-01-29T00:00:00"/>
    <x v="0"/>
  </r>
  <r>
    <x v="0"/>
    <x v="0"/>
    <x v="0"/>
    <x v="0"/>
    <x v="4"/>
    <d v="2025-01-09T00:00:00"/>
    <x v="0"/>
  </r>
  <r>
    <x v="1"/>
    <x v="0"/>
    <x v="0"/>
    <x v="0"/>
    <x v="3"/>
    <d v="2025-01-04T00:00:00"/>
    <x v="0"/>
  </r>
  <r>
    <x v="0"/>
    <x v="0"/>
    <x v="0"/>
    <x v="0"/>
    <x v="1"/>
    <d v="2025-01-22T00:00:00"/>
    <x v="0"/>
  </r>
  <r>
    <x v="1"/>
    <x v="6"/>
    <x v="4"/>
    <x v="2"/>
    <x v="1"/>
    <d v="2025-01-07T00:00:00"/>
    <x v="0"/>
  </r>
  <r>
    <x v="1"/>
    <x v="1"/>
    <x v="1"/>
    <x v="3"/>
    <x v="1"/>
    <d v="2025-01-18T00:00:00"/>
    <x v="0"/>
  </r>
  <r>
    <x v="1"/>
    <x v="6"/>
    <x v="4"/>
    <x v="2"/>
    <x v="1"/>
    <d v="2025-01-24T00:00:00"/>
    <x v="0"/>
  </r>
  <r>
    <x v="0"/>
    <x v="0"/>
    <x v="0"/>
    <x v="0"/>
    <x v="4"/>
    <d v="2025-01-14T00:00:00"/>
    <x v="0"/>
  </r>
  <r>
    <x v="1"/>
    <x v="0"/>
    <x v="0"/>
    <x v="0"/>
    <x v="4"/>
    <d v="2025-01-04T00:00:00"/>
    <x v="0"/>
  </r>
  <r>
    <x v="0"/>
    <x v="5"/>
    <x v="1"/>
    <x v="1"/>
    <x v="3"/>
    <d v="2025-01-28T00:00:00"/>
    <x v="0"/>
  </r>
  <r>
    <x v="1"/>
    <x v="0"/>
    <x v="0"/>
    <x v="0"/>
    <x v="2"/>
    <d v="2025-01-07T00:00:00"/>
    <x v="0"/>
  </r>
  <r>
    <x v="0"/>
    <x v="7"/>
    <x v="4"/>
    <x v="2"/>
    <x v="1"/>
    <d v="2025-01-04T00:00:00"/>
    <x v="0"/>
  </r>
  <r>
    <x v="1"/>
    <x v="5"/>
    <x v="1"/>
    <x v="1"/>
    <x v="1"/>
    <d v="2025-01-11T00:00:00"/>
    <x v="0"/>
  </r>
  <r>
    <x v="0"/>
    <x v="0"/>
    <x v="0"/>
    <x v="0"/>
    <x v="3"/>
    <d v="2025-01-05T00:00:00"/>
    <x v="0"/>
  </r>
  <r>
    <x v="1"/>
    <x v="0"/>
    <x v="0"/>
    <x v="0"/>
    <x v="0"/>
    <d v="2025-01-05T00:00:00"/>
    <x v="0"/>
  </r>
  <r>
    <x v="1"/>
    <x v="0"/>
    <x v="0"/>
    <x v="0"/>
    <x v="0"/>
    <d v="2025-01-04T00:00:00"/>
    <x v="0"/>
  </r>
  <r>
    <x v="1"/>
    <x v="0"/>
    <x v="0"/>
    <x v="0"/>
    <x v="3"/>
    <d v="2025-01-17T00:00:00"/>
    <x v="0"/>
  </r>
  <r>
    <x v="1"/>
    <x v="3"/>
    <x v="4"/>
    <x v="2"/>
    <x v="1"/>
    <d v="2025-01-31T00:00:00"/>
    <x v="0"/>
  </r>
  <r>
    <x v="1"/>
    <x v="1"/>
    <x v="1"/>
    <x v="3"/>
    <x v="0"/>
    <d v="2025-01-27T00:00:00"/>
    <x v="0"/>
  </r>
  <r>
    <x v="1"/>
    <x v="7"/>
    <x v="4"/>
    <x v="3"/>
    <x v="0"/>
    <d v="2025-01-07T00:00:00"/>
    <x v="0"/>
  </r>
  <r>
    <x v="1"/>
    <x v="0"/>
    <x v="0"/>
    <x v="0"/>
    <x v="4"/>
    <d v="2025-01-20T00:00:00"/>
    <x v="0"/>
  </r>
  <r>
    <x v="1"/>
    <x v="7"/>
    <x v="3"/>
    <x v="2"/>
    <x v="4"/>
    <d v="2025-01-31T00:00:00"/>
    <x v="0"/>
  </r>
  <r>
    <x v="1"/>
    <x v="1"/>
    <x v="4"/>
    <x v="2"/>
    <x v="1"/>
    <d v="2025-01-27T00:00:00"/>
    <x v="0"/>
  </r>
  <r>
    <x v="1"/>
    <x v="0"/>
    <x v="0"/>
    <x v="0"/>
    <x v="2"/>
    <d v="2025-01-07T00:00:00"/>
    <x v="0"/>
  </r>
  <r>
    <x v="0"/>
    <x v="1"/>
    <x v="0"/>
    <x v="2"/>
    <x v="1"/>
    <d v="2025-01-25T00:00:00"/>
    <x v="0"/>
  </r>
  <r>
    <x v="1"/>
    <x v="1"/>
    <x v="1"/>
    <x v="1"/>
    <x v="4"/>
    <d v="2025-02-06T00:00:00"/>
    <x v="1"/>
  </r>
  <r>
    <x v="1"/>
    <x v="2"/>
    <x v="2"/>
    <x v="1"/>
    <x v="0"/>
    <d v="2025-02-27T00:00:00"/>
    <x v="1"/>
  </r>
  <r>
    <x v="0"/>
    <x v="0"/>
    <x v="0"/>
    <x v="0"/>
    <x v="4"/>
    <d v="2025-02-18T00:00:00"/>
    <x v="1"/>
  </r>
  <r>
    <x v="0"/>
    <x v="4"/>
    <x v="2"/>
    <x v="2"/>
    <x v="2"/>
    <d v="2025-02-09T00:00:00"/>
    <x v="1"/>
  </r>
  <r>
    <x v="1"/>
    <x v="0"/>
    <x v="0"/>
    <x v="0"/>
    <x v="0"/>
    <d v="2025-02-22T00:00:00"/>
    <x v="1"/>
  </r>
  <r>
    <x v="0"/>
    <x v="0"/>
    <x v="0"/>
    <x v="0"/>
    <x v="0"/>
    <d v="2025-02-25T00:00:00"/>
    <x v="1"/>
  </r>
  <r>
    <x v="1"/>
    <x v="0"/>
    <x v="0"/>
    <x v="0"/>
    <x v="4"/>
    <d v="2025-02-07T00:00:00"/>
    <x v="1"/>
  </r>
  <r>
    <x v="1"/>
    <x v="0"/>
    <x v="0"/>
    <x v="0"/>
    <x v="1"/>
    <d v="2025-02-04T00:00:00"/>
    <x v="1"/>
  </r>
  <r>
    <x v="0"/>
    <x v="0"/>
    <x v="0"/>
    <x v="0"/>
    <x v="3"/>
    <d v="2025-02-04T00:00:00"/>
    <x v="1"/>
  </r>
  <r>
    <x v="0"/>
    <x v="8"/>
    <x v="2"/>
    <x v="1"/>
    <x v="4"/>
    <d v="2025-02-27T00:00:00"/>
    <x v="1"/>
  </r>
  <r>
    <x v="1"/>
    <x v="4"/>
    <x v="2"/>
    <x v="1"/>
    <x v="4"/>
    <d v="2025-02-14T00:00:00"/>
    <x v="1"/>
  </r>
  <r>
    <x v="1"/>
    <x v="3"/>
    <x v="4"/>
    <x v="2"/>
    <x v="4"/>
    <d v="2025-02-14T00:00:00"/>
    <x v="1"/>
  </r>
  <r>
    <x v="1"/>
    <x v="1"/>
    <x v="1"/>
    <x v="1"/>
    <x v="1"/>
    <d v="2025-02-28T00:00:00"/>
    <x v="1"/>
  </r>
  <r>
    <x v="0"/>
    <x v="3"/>
    <x v="4"/>
    <x v="1"/>
    <x v="2"/>
    <d v="2025-02-05T00:00:00"/>
    <x v="1"/>
  </r>
  <r>
    <x v="1"/>
    <x v="1"/>
    <x v="1"/>
    <x v="3"/>
    <x v="2"/>
    <d v="2025-02-05T00:00:00"/>
    <x v="1"/>
  </r>
  <r>
    <x v="0"/>
    <x v="0"/>
    <x v="0"/>
    <x v="0"/>
    <x v="0"/>
    <d v="2025-02-05T00:00:00"/>
    <x v="1"/>
  </r>
  <r>
    <x v="0"/>
    <x v="0"/>
    <x v="0"/>
    <x v="0"/>
    <x v="4"/>
    <d v="2025-02-07T00:00:00"/>
    <x v="1"/>
  </r>
  <r>
    <x v="1"/>
    <x v="1"/>
    <x v="1"/>
    <x v="1"/>
    <x v="0"/>
    <d v="2025-02-11T00:00:00"/>
    <x v="1"/>
  </r>
  <r>
    <x v="0"/>
    <x v="1"/>
    <x v="1"/>
    <x v="3"/>
    <x v="0"/>
    <d v="2025-02-14T00:00:00"/>
    <x v="1"/>
  </r>
  <r>
    <x v="1"/>
    <x v="1"/>
    <x v="2"/>
    <x v="1"/>
    <x v="0"/>
    <d v="2025-02-10T00:00:00"/>
    <x v="1"/>
  </r>
  <r>
    <x v="1"/>
    <x v="1"/>
    <x v="4"/>
    <x v="2"/>
    <x v="4"/>
    <d v="2025-02-28T00:00:00"/>
    <x v="1"/>
  </r>
  <r>
    <x v="0"/>
    <x v="3"/>
    <x v="3"/>
    <x v="2"/>
    <x v="3"/>
    <d v="2025-02-22T00:00:00"/>
    <x v="1"/>
  </r>
  <r>
    <x v="0"/>
    <x v="7"/>
    <x v="4"/>
    <x v="3"/>
    <x v="4"/>
    <d v="2025-02-11T00:00:00"/>
    <x v="1"/>
  </r>
  <r>
    <x v="1"/>
    <x v="9"/>
    <x v="1"/>
    <x v="3"/>
    <x v="0"/>
    <d v="2025-02-14T00:00:00"/>
    <x v="1"/>
  </r>
  <r>
    <x v="1"/>
    <x v="0"/>
    <x v="0"/>
    <x v="0"/>
    <x v="3"/>
    <d v="2025-02-10T00:00:00"/>
    <x v="1"/>
  </r>
  <r>
    <x v="0"/>
    <x v="0"/>
    <x v="0"/>
    <x v="0"/>
    <x v="3"/>
    <d v="2025-02-04T00:00:00"/>
    <x v="1"/>
  </r>
  <r>
    <x v="1"/>
    <x v="6"/>
    <x v="1"/>
    <x v="4"/>
    <x v="2"/>
    <d v="2025-02-14T00:00:00"/>
    <x v="1"/>
  </r>
  <r>
    <x v="0"/>
    <x v="6"/>
    <x v="4"/>
    <x v="2"/>
    <x v="4"/>
    <d v="2025-02-01T00:00:00"/>
    <x v="1"/>
  </r>
  <r>
    <x v="0"/>
    <x v="0"/>
    <x v="0"/>
    <x v="0"/>
    <x v="1"/>
    <d v="2025-02-25T00:00:00"/>
    <x v="1"/>
  </r>
  <r>
    <x v="1"/>
    <x v="3"/>
    <x v="4"/>
    <x v="2"/>
    <x v="1"/>
    <d v="2025-02-26T00:00:00"/>
    <x v="1"/>
  </r>
  <r>
    <x v="1"/>
    <x v="0"/>
    <x v="0"/>
    <x v="0"/>
    <x v="3"/>
    <d v="2025-02-07T00:00:00"/>
    <x v="1"/>
  </r>
  <r>
    <x v="0"/>
    <x v="1"/>
    <x v="4"/>
    <x v="2"/>
    <x v="0"/>
    <d v="2025-02-07T00:00:00"/>
    <x v="1"/>
  </r>
  <r>
    <x v="1"/>
    <x v="0"/>
    <x v="0"/>
    <x v="0"/>
    <x v="0"/>
    <d v="2025-02-13T00:00:00"/>
    <x v="1"/>
  </r>
  <r>
    <x v="1"/>
    <x v="0"/>
    <x v="0"/>
    <x v="0"/>
    <x v="4"/>
    <d v="2025-02-17T00:00:00"/>
    <x v="1"/>
  </r>
  <r>
    <x v="0"/>
    <x v="0"/>
    <x v="0"/>
    <x v="0"/>
    <x v="3"/>
    <d v="2025-02-01T00:00:00"/>
    <x v="1"/>
  </r>
  <r>
    <x v="1"/>
    <x v="6"/>
    <x v="4"/>
    <x v="2"/>
    <x v="0"/>
    <d v="2025-02-14T00:00:00"/>
    <x v="1"/>
  </r>
  <r>
    <x v="1"/>
    <x v="1"/>
    <x v="1"/>
    <x v="2"/>
    <x v="3"/>
    <d v="2025-02-06T00:00:00"/>
    <x v="1"/>
  </r>
  <r>
    <x v="1"/>
    <x v="0"/>
    <x v="0"/>
    <x v="0"/>
    <x v="3"/>
    <d v="2025-02-22T00:00:00"/>
    <x v="1"/>
  </r>
  <r>
    <x v="0"/>
    <x v="0"/>
    <x v="0"/>
    <x v="0"/>
    <x v="0"/>
    <d v="2025-02-02T00:00:00"/>
    <x v="1"/>
  </r>
  <r>
    <x v="0"/>
    <x v="0"/>
    <x v="0"/>
    <x v="0"/>
    <x v="1"/>
    <d v="2025-02-18T00:00:00"/>
    <x v="1"/>
  </r>
  <r>
    <x v="1"/>
    <x v="3"/>
    <x v="4"/>
    <x v="3"/>
    <x v="2"/>
    <d v="2025-02-14T00:00:00"/>
    <x v="1"/>
  </r>
  <r>
    <x v="1"/>
    <x v="10"/>
    <x v="3"/>
    <x v="4"/>
    <x v="4"/>
    <d v="2025-02-14T00:00:00"/>
    <x v="1"/>
  </r>
  <r>
    <x v="1"/>
    <x v="0"/>
    <x v="0"/>
    <x v="0"/>
    <x v="1"/>
    <d v="2025-02-11T00:00:00"/>
    <x v="1"/>
  </r>
  <r>
    <x v="1"/>
    <x v="6"/>
    <x v="4"/>
    <x v="2"/>
    <x v="0"/>
    <d v="2025-02-28T00:00:00"/>
    <x v="1"/>
  </r>
  <r>
    <x v="1"/>
    <x v="0"/>
    <x v="0"/>
    <x v="0"/>
    <x v="2"/>
    <d v="2025-02-28T00:00:00"/>
    <x v="1"/>
  </r>
  <r>
    <x v="1"/>
    <x v="8"/>
    <x v="1"/>
    <x v="1"/>
    <x v="4"/>
    <d v="2025-02-22T00:00:00"/>
    <x v="1"/>
  </r>
  <r>
    <x v="1"/>
    <x v="0"/>
    <x v="0"/>
    <x v="0"/>
    <x v="1"/>
    <d v="2025-02-01T00:00:00"/>
    <x v="1"/>
  </r>
  <r>
    <x v="1"/>
    <x v="0"/>
    <x v="0"/>
    <x v="0"/>
    <x v="2"/>
    <d v="2025-03-30T00:00:00"/>
    <x v="2"/>
  </r>
  <r>
    <x v="1"/>
    <x v="1"/>
    <x v="4"/>
    <x v="2"/>
    <x v="2"/>
    <d v="2025-03-27T00:00:00"/>
    <x v="2"/>
  </r>
  <r>
    <x v="1"/>
    <x v="0"/>
    <x v="0"/>
    <x v="0"/>
    <x v="4"/>
    <d v="2025-03-27T00:00:00"/>
    <x v="2"/>
  </r>
  <r>
    <x v="1"/>
    <x v="3"/>
    <x v="4"/>
    <x v="2"/>
    <x v="0"/>
    <d v="2025-03-26T00:00:00"/>
    <x v="2"/>
  </r>
  <r>
    <x v="1"/>
    <x v="0"/>
    <x v="0"/>
    <x v="0"/>
    <x v="1"/>
    <d v="2025-03-31T00:00:00"/>
    <x v="2"/>
  </r>
  <r>
    <x v="1"/>
    <x v="1"/>
    <x v="1"/>
    <x v="3"/>
    <x v="1"/>
    <d v="2025-03-06T00:00:00"/>
    <x v="2"/>
  </r>
  <r>
    <x v="0"/>
    <x v="1"/>
    <x v="1"/>
    <x v="3"/>
    <x v="2"/>
    <d v="2025-03-30T00:00:00"/>
    <x v="2"/>
  </r>
  <r>
    <x v="1"/>
    <x v="0"/>
    <x v="0"/>
    <x v="0"/>
    <x v="4"/>
    <d v="2025-03-30T00:00:00"/>
    <x v="2"/>
  </r>
  <r>
    <x v="1"/>
    <x v="3"/>
    <x v="4"/>
    <x v="2"/>
    <x v="0"/>
    <d v="2025-03-06T00:00:00"/>
    <x v="2"/>
  </r>
  <r>
    <x v="1"/>
    <x v="0"/>
    <x v="0"/>
    <x v="0"/>
    <x v="2"/>
    <d v="2025-03-30T00:00:00"/>
    <x v="2"/>
  </r>
  <r>
    <x v="0"/>
    <x v="0"/>
    <x v="0"/>
    <x v="0"/>
    <x v="4"/>
    <d v="2025-03-27T00:00:00"/>
    <x v="2"/>
  </r>
  <r>
    <x v="0"/>
    <x v="8"/>
    <x v="1"/>
    <x v="1"/>
    <x v="4"/>
    <d v="2025-03-19T00:00:00"/>
    <x v="2"/>
  </r>
  <r>
    <x v="1"/>
    <x v="1"/>
    <x v="1"/>
    <x v="1"/>
    <x v="2"/>
    <d v="2025-03-08T00:00:00"/>
    <x v="2"/>
  </r>
  <r>
    <x v="1"/>
    <x v="0"/>
    <x v="0"/>
    <x v="0"/>
    <x v="2"/>
    <d v="2025-03-08T00:00:00"/>
    <x v="2"/>
  </r>
  <r>
    <x v="1"/>
    <x v="6"/>
    <x v="4"/>
    <x v="2"/>
    <x v="2"/>
    <d v="2025-03-20T00:00:00"/>
    <x v="2"/>
  </r>
  <r>
    <x v="0"/>
    <x v="1"/>
    <x v="1"/>
    <x v="3"/>
    <x v="4"/>
    <d v="2025-03-03T00:00:00"/>
    <x v="2"/>
  </r>
  <r>
    <x v="1"/>
    <x v="11"/>
    <x v="0"/>
    <x v="3"/>
    <x v="1"/>
    <d v="2025-03-08T00:00:00"/>
    <x v="2"/>
  </r>
  <r>
    <x v="1"/>
    <x v="8"/>
    <x v="1"/>
    <x v="1"/>
    <x v="2"/>
    <d v="2025-03-01T00:00:00"/>
    <x v="2"/>
  </r>
  <r>
    <x v="1"/>
    <x v="0"/>
    <x v="0"/>
    <x v="0"/>
    <x v="4"/>
    <d v="2025-03-12T00:00:00"/>
    <x v="2"/>
  </r>
  <r>
    <x v="1"/>
    <x v="0"/>
    <x v="0"/>
    <x v="0"/>
    <x v="0"/>
    <d v="2025-03-06T00:00:00"/>
    <x v="2"/>
  </r>
  <r>
    <x v="1"/>
    <x v="1"/>
    <x v="1"/>
    <x v="3"/>
    <x v="0"/>
    <d v="2025-03-26T00:00:00"/>
    <x v="2"/>
  </r>
  <r>
    <x v="0"/>
    <x v="0"/>
    <x v="0"/>
    <x v="0"/>
    <x v="3"/>
    <d v="2025-03-10T00:00:00"/>
    <x v="2"/>
  </r>
  <r>
    <x v="1"/>
    <x v="9"/>
    <x v="2"/>
    <x v="1"/>
    <x v="1"/>
    <d v="2025-03-30T00:00:00"/>
    <x v="2"/>
  </r>
  <r>
    <x v="0"/>
    <x v="8"/>
    <x v="1"/>
    <x v="2"/>
    <x v="4"/>
    <d v="2025-03-01T00:00:00"/>
    <x v="2"/>
  </r>
  <r>
    <x v="1"/>
    <x v="6"/>
    <x v="3"/>
    <x v="2"/>
    <x v="2"/>
    <d v="2025-03-10T00:00:00"/>
    <x v="2"/>
  </r>
  <r>
    <x v="1"/>
    <x v="0"/>
    <x v="0"/>
    <x v="0"/>
    <x v="2"/>
    <d v="2025-03-22T00:00:00"/>
    <x v="2"/>
  </r>
  <r>
    <x v="1"/>
    <x v="0"/>
    <x v="0"/>
    <x v="0"/>
    <x v="1"/>
    <d v="2025-03-29T00:00:00"/>
    <x v="2"/>
  </r>
  <r>
    <x v="1"/>
    <x v="8"/>
    <x v="4"/>
    <x v="2"/>
    <x v="2"/>
    <d v="2025-03-21T00:00:00"/>
    <x v="2"/>
  </r>
  <r>
    <x v="1"/>
    <x v="0"/>
    <x v="0"/>
    <x v="0"/>
    <x v="4"/>
    <d v="2025-03-23T00:00:00"/>
    <x v="2"/>
  </r>
  <r>
    <x v="1"/>
    <x v="1"/>
    <x v="2"/>
    <x v="1"/>
    <x v="1"/>
    <d v="2025-03-08T00:00:00"/>
    <x v="2"/>
  </r>
  <r>
    <x v="1"/>
    <x v="1"/>
    <x v="2"/>
    <x v="1"/>
    <x v="1"/>
    <d v="2025-03-09T00:00:00"/>
    <x v="2"/>
  </r>
  <r>
    <x v="0"/>
    <x v="0"/>
    <x v="0"/>
    <x v="0"/>
    <x v="1"/>
    <d v="2025-03-30T00:00:00"/>
    <x v="2"/>
  </r>
  <r>
    <x v="0"/>
    <x v="0"/>
    <x v="0"/>
    <x v="0"/>
    <x v="3"/>
    <d v="2025-03-28T00:00:00"/>
    <x v="2"/>
  </r>
  <r>
    <x v="1"/>
    <x v="0"/>
    <x v="0"/>
    <x v="0"/>
    <x v="3"/>
    <d v="2025-03-30T00:00:00"/>
    <x v="2"/>
  </r>
  <r>
    <x v="0"/>
    <x v="8"/>
    <x v="4"/>
    <x v="2"/>
    <x v="3"/>
    <d v="2025-03-29T00:00:00"/>
    <x v="2"/>
  </r>
  <r>
    <x v="1"/>
    <x v="0"/>
    <x v="0"/>
    <x v="0"/>
    <x v="0"/>
    <d v="2025-03-23T00:00:00"/>
    <x v="2"/>
  </r>
  <r>
    <x v="1"/>
    <x v="0"/>
    <x v="0"/>
    <x v="0"/>
    <x v="2"/>
    <d v="2025-03-25T00:00:00"/>
    <x v="2"/>
  </r>
  <r>
    <x v="1"/>
    <x v="0"/>
    <x v="0"/>
    <x v="0"/>
    <x v="4"/>
    <d v="2025-03-22T00:00:00"/>
    <x v="2"/>
  </r>
  <r>
    <x v="1"/>
    <x v="6"/>
    <x v="3"/>
    <x v="2"/>
    <x v="4"/>
    <d v="2025-03-25T00:00:00"/>
    <x v="2"/>
  </r>
  <r>
    <x v="1"/>
    <x v="6"/>
    <x v="3"/>
    <x v="2"/>
    <x v="4"/>
    <d v="2025-03-25T00:00:00"/>
    <x v="2"/>
  </r>
  <r>
    <x v="1"/>
    <x v="6"/>
    <x v="4"/>
    <x v="3"/>
    <x v="4"/>
    <d v="2025-03-28T00:00:0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x v="0"/>
    <x v="0"/>
    <x v="0"/>
    <x v="0"/>
    <x v="0"/>
    <d v="2025-01-03T00:00:00"/>
  </r>
  <r>
    <x v="1"/>
    <x v="0"/>
    <x v="0"/>
    <x v="0"/>
    <x v="1"/>
    <d v="2025-01-31T00:00:00"/>
  </r>
  <r>
    <x v="0"/>
    <x v="1"/>
    <x v="1"/>
    <x v="1"/>
    <x v="2"/>
    <d v="2025-01-10T00:00:00"/>
  </r>
  <r>
    <x v="1"/>
    <x v="2"/>
    <x v="2"/>
    <x v="1"/>
    <x v="3"/>
    <d v="2025-01-11T00:00:00"/>
  </r>
  <r>
    <x v="1"/>
    <x v="1"/>
    <x v="3"/>
    <x v="2"/>
    <x v="0"/>
    <d v="2025-01-21T00:00:00"/>
  </r>
  <r>
    <x v="1"/>
    <x v="1"/>
    <x v="4"/>
    <x v="3"/>
    <x v="3"/>
    <d v="2025-01-24T00:00:00"/>
  </r>
  <r>
    <x v="1"/>
    <x v="0"/>
    <x v="0"/>
    <x v="0"/>
    <x v="2"/>
    <d v="2025-01-30T00:00:00"/>
  </r>
  <r>
    <x v="1"/>
    <x v="0"/>
    <x v="0"/>
    <x v="0"/>
    <x v="2"/>
    <d v="2025-01-21T00:00:00"/>
  </r>
  <r>
    <x v="1"/>
    <x v="3"/>
    <x v="3"/>
    <x v="2"/>
    <x v="4"/>
    <d v="2025-01-16T00:00:00"/>
  </r>
  <r>
    <x v="1"/>
    <x v="0"/>
    <x v="0"/>
    <x v="0"/>
    <x v="1"/>
    <d v="2025-01-30T00:00:00"/>
  </r>
  <r>
    <x v="1"/>
    <x v="3"/>
    <x v="3"/>
    <x v="3"/>
    <x v="1"/>
    <d v="2025-01-04T00:00:00"/>
  </r>
  <r>
    <x v="0"/>
    <x v="4"/>
    <x v="1"/>
    <x v="2"/>
    <x v="4"/>
    <d v="2025-01-27T00:00:00"/>
  </r>
  <r>
    <x v="1"/>
    <x v="0"/>
    <x v="0"/>
    <x v="0"/>
    <x v="3"/>
    <d v="2025-01-08T00:00:00"/>
  </r>
  <r>
    <x v="0"/>
    <x v="3"/>
    <x v="4"/>
    <x v="2"/>
    <x v="2"/>
    <d v="2025-01-06T00:00:00"/>
  </r>
  <r>
    <x v="0"/>
    <x v="5"/>
    <x v="1"/>
    <x v="1"/>
    <x v="2"/>
    <d v="2025-01-06T00:00:00"/>
  </r>
  <r>
    <x v="1"/>
    <x v="0"/>
    <x v="0"/>
    <x v="0"/>
    <x v="0"/>
    <d v="2025-01-28T00:00:00"/>
  </r>
  <r>
    <x v="0"/>
    <x v="0"/>
    <x v="0"/>
    <x v="0"/>
    <x v="0"/>
    <d v="2025-01-08T00:00:00"/>
  </r>
  <r>
    <x v="1"/>
    <x v="6"/>
    <x v="1"/>
    <x v="1"/>
    <x v="0"/>
    <d v="2025-01-29T00:00:00"/>
  </r>
  <r>
    <x v="0"/>
    <x v="0"/>
    <x v="0"/>
    <x v="0"/>
    <x v="4"/>
    <d v="2025-01-09T00:00:00"/>
  </r>
  <r>
    <x v="1"/>
    <x v="0"/>
    <x v="0"/>
    <x v="0"/>
    <x v="3"/>
    <d v="2025-01-04T00:00:00"/>
  </r>
  <r>
    <x v="0"/>
    <x v="0"/>
    <x v="0"/>
    <x v="0"/>
    <x v="1"/>
    <d v="2025-01-22T00:00:00"/>
  </r>
  <r>
    <x v="1"/>
    <x v="6"/>
    <x v="4"/>
    <x v="2"/>
    <x v="1"/>
    <d v="2025-01-07T00:00:00"/>
  </r>
  <r>
    <x v="1"/>
    <x v="1"/>
    <x v="1"/>
    <x v="3"/>
    <x v="1"/>
    <d v="2025-01-18T00:00:00"/>
  </r>
  <r>
    <x v="1"/>
    <x v="6"/>
    <x v="4"/>
    <x v="2"/>
    <x v="1"/>
    <d v="2025-01-24T00:00:00"/>
  </r>
  <r>
    <x v="0"/>
    <x v="0"/>
    <x v="0"/>
    <x v="0"/>
    <x v="4"/>
    <d v="2025-01-14T00:00:00"/>
  </r>
  <r>
    <x v="1"/>
    <x v="0"/>
    <x v="0"/>
    <x v="0"/>
    <x v="4"/>
    <d v="2025-01-04T00:00:00"/>
  </r>
  <r>
    <x v="0"/>
    <x v="5"/>
    <x v="1"/>
    <x v="1"/>
    <x v="3"/>
    <d v="2025-01-28T00:00:00"/>
  </r>
  <r>
    <x v="1"/>
    <x v="0"/>
    <x v="0"/>
    <x v="0"/>
    <x v="2"/>
    <d v="2025-01-07T00:00:00"/>
  </r>
  <r>
    <x v="0"/>
    <x v="7"/>
    <x v="4"/>
    <x v="2"/>
    <x v="1"/>
    <d v="2025-01-04T00:00:00"/>
  </r>
  <r>
    <x v="1"/>
    <x v="5"/>
    <x v="1"/>
    <x v="1"/>
    <x v="1"/>
    <d v="2025-01-11T00:00:00"/>
  </r>
  <r>
    <x v="0"/>
    <x v="0"/>
    <x v="0"/>
    <x v="0"/>
    <x v="3"/>
    <d v="2025-01-05T00:00:00"/>
  </r>
  <r>
    <x v="1"/>
    <x v="0"/>
    <x v="0"/>
    <x v="0"/>
    <x v="0"/>
    <d v="2025-01-05T00:00:00"/>
  </r>
  <r>
    <x v="1"/>
    <x v="0"/>
    <x v="0"/>
    <x v="0"/>
    <x v="0"/>
    <d v="2025-01-04T00:00:00"/>
  </r>
  <r>
    <x v="1"/>
    <x v="0"/>
    <x v="0"/>
    <x v="0"/>
    <x v="3"/>
    <d v="2025-01-17T00:00:00"/>
  </r>
  <r>
    <x v="1"/>
    <x v="3"/>
    <x v="4"/>
    <x v="2"/>
    <x v="1"/>
    <d v="2025-01-31T00:00:00"/>
  </r>
  <r>
    <x v="1"/>
    <x v="1"/>
    <x v="1"/>
    <x v="3"/>
    <x v="0"/>
    <d v="2025-01-27T00:00:00"/>
  </r>
  <r>
    <x v="1"/>
    <x v="7"/>
    <x v="4"/>
    <x v="3"/>
    <x v="0"/>
    <d v="2025-01-07T00:00:00"/>
  </r>
  <r>
    <x v="1"/>
    <x v="0"/>
    <x v="0"/>
    <x v="0"/>
    <x v="4"/>
    <d v="2025-01-20T00:00:00"/>
  </r>
  <r>
    <x v="1"/>
    <x v="7"/>
    <x v="3"/>
    <x v="2"/>
    <x v="4"/>
    <d v="2025-01-31T00:00:00"/>
  </r>
  <r>
    <x v="1"/>
    <x v="1"/>
    <x v="4"/>
    <x v="2"/>
    <x v="1"/>
    <d v="2025-01-27T00:00:00"/>
  </r>
  <r>
    <x v="1"/>
    <x v="0"/>
    <x v="0"/>
    <x v="0"/>
    <x v="2"/>
    <d v="2025-01-07T00:00:00"/>
  </r>
  <r>
    <x v="0"/>
    <x v="1"/>
    <x v="0"/>
    <x v="2"/>
    <x v="1"/>
    <d v="2025-01-25T00:00:00"/>
  </r>
  <r>
    <x v="1"/>
    <x v="1"/>
    <x v="1"/>
    <x v="1"/>
    <x v="4"/>
    <d v="2025-02-06T00:00:00"/>
  </r>
  <r>
    <x v="1"/>
    <x v="2"/>
    <x v="2"/>
    <x v="1"/>
    <x v="0"/>
    <d v="2025-02-27T00:00:00"/>
  </r>
  <r>
    <x v="0"/>
    <x v="0"/>
    <x v="0"/>
    <x v="0"/>
    <x v="4"/>
    <d v="2025-02-18T00:00:00"/>
  </r>
  <r>
    <x v="0"/>
    <x v="4"/>
    <x v="2"/>
    <x v="2"/>
    <x v="2"/>
    <d v="2025-02-09T00:00:00"/>
  </r>
  <r>
    <x v="1"/>
    <x v="0"/>
    <x v="0"/>
    <x v="0"/>
    <x v="0"/>
    <d v="2025-02-22T00:00:00"/>
  </r>
  <r>
    <x v="0"/>
    <x v="0"/>
    <x v="0"/>
    <x v="0"/>
    <x v="0"/>
    <d v="2025-02-25T00:00:00"/>
  </r>
  <r>
    <x v="1"/>
    <x v="0"/>
    <x v="0"/>
    <x v="0"/>
    <x v="4"/>
    <d v="2025-02-07T00:00:00"/>
  </r>
  <r>
    <x v="1"/>
    <x v="0"/>
    <x v="0"/>
    <x v="0"/>
    <x v="1"/>
    <d v="2025-02-04T00:00:00"/>
  </r>
  <r>
    <x v="0"/>
    <x v="0"/>
    <x v="0"/>
    <x v="0"/>
    <x v="3"/>
    <d v="2025-02-04T00:00:00"/>
  </r>
  <r>
    <x v="0"/>
    <x v="8"/>
    <x v="2"/>
    <x v="1"/>
    <x v="4"/>
    <d v="2025-02-27T00:00:00"/>
  </r>
  <r>
    <x v="1"/>
    <x v="4"/>
    <x v="2"/>
    <x v="1"/>
    <x v="4"/>
    <d v="2025-02-14T00:00:00"/>
  </r>
  <r>
    <x v="1"/>
    <x v="3"/>
    <x v="4"/>
    <x v="2"/>
    <x v="4"/>
    <d v="2025-02-14T00:00:00"/>
  </r>
  <r>
    <x v="1"/>
    <x v="1"/>
    <x v="1"/>
    <x v="1"/>
    <x v="1"/>
    <d v="2025-02-28T00:00:00"/>
  </r>
  <r>
    <x v="0"/>
    <x v="3"/>
    <x v="4"/>
    <x v="1"/>
    <x v="2"/>
    <d v="2025-02-05T00:00:00"/>
  </r>
  <r>
    <x v="1"/>
    <x v="1"/>
    <x v="1"/>
    <x v="3"/>
    <x v="2"/>
    <d v="2025-02-05T00:00:00"/>
  </r>
  <r>
    <x v="0"/>
    <x v="0"/>
    <x v="0"/>
    <x v="0"/>
    <x v="0"/>
    <d v="2025-02-05T00:00:00"/>
  </r>
  <r>
    <x v="0"/>
    <x v="0"/>
    <x v="0"/>
    <x v="0"/>
    <x v="4"/>
    <d v="2025-02-07T00:00:00"/>
  </r>
  <r>
    <x v="1"/>
    <x v="1"/>
    <x v="1"/>
    <x v="1"/>
    <x v="0"/>
    <d v="2025-02-11T00:00:00"/>
  </r>
  <r>
    <x v="0"/>
    <x v="1"/>
    <x v="1"/>
    <x v="3"/>
    <x v="0"/>
    <d v="2025-02-14T00:00:00"/>
  </r>
  <r>
    <x v="1"/>
    <x v="1"/>
    <x v="2"/>
    <x v="1"/>
    <x v="0"/>
    <d v="2025-02-10T00:00:00"/>
  </r>
  <r>
    <x v="1"/>
    <x v="1"/>
    <x v="4"/>
    <x v="2"/>
    <x v="4"/>
    <d v="2025-02-28T00:00:00"/>
  </r>
  <r>
    <x v="0"/>
    <x v="3"/>
    <x v="3"/>
    <x v="2"/>
    <x v="3"/>
    <d v="2025-02-22T00:00:00"/>
  </r>
  <r>
    <x v="0"/>
    <x v="7"/>
    <x v="4"/>
    <x v="3"/>
    <x v="4"/>
    <d v="2025-02-11T00:00:00"/>
  </r>
  <r>
    <x v="1"/>
    <x v="9"/>
    <x v="1"/>
    <x v="3"/>
    <x v="0"/>
    <d v="2025-02-14T00:00:00"/>
  </r>
  <r>
    <x v="1"/>
    <x v="0"/>
    <x v="0"/>
    <x v="0"/>
    <x v="3"/>
    <d v="2025-02-10T00:00:00"/>
  </r>
  <r>
    <x v="0"/>
    <x v="0"/>
    <x v="0"/>
    <x v="0"/>
    <x v="3"/>
    <d v="2025-02-04T00:00:00"/>
  </r>
  <r>
    <x v="1"/>
    <x v="6"/>
    <x v="1"/>
    <x v="4"/>
    <x v="2"/>
    <d v="2025-02-14T00:00:00"/>
  </r>
  <r>
    <x v="0"/>
    <x v="6"/>
    <x v="4"/>
    <x v="2"/>
    <x v="4"/>
    <d v="2025-02-01T00:00:00"/>
  </r>
  <r>
    <x v="0"/>
    <x v="0"/>
    <x v="0"/>
    <x v="0"/>
    <x v="1"/>
    <d v="2025-02-25T00:00:00"/>
  </r>
  <r>
    <x v="1"/>
    <x v="3"/>
    <x v="4"/>
    <x v="2"/>
    <x v="1"/>
    <d v="2025-02-26T00:00:00"/>
  </r>
  <r>
    <x v="1"/>
    <x v="0"/>
    <x v="0"/>
    <x v="0"/>
    <x v="3"/>
    <d v="2025-02-07T00:00:00"/>
  </r>
  <r>
    <x v="0"/>
    <x v="1"/>
    <x v="4"/>
    <x v="2"/>
    <x v="0"/>
    <d v="2025-02-07T00:00:00"/>
  </r>
  <r>
    <x v="1"/>
    <x v="0"/>
    <x v="0"/>
    <x v="0"/>
    <x v="0"/>
    <d v="2025-02-13T00:00:00"/>
  </r>
  <r>
    <x v="1"/>
    <x v="0"/>
    <x v="0"/>
    <x v="0"/>
    <x v="4"/>
    <d v="2025-02-17T00:00:00"/>
  </r>
  <r>
    <x v="0"/>
    <x v="0"/>
    <x v="0"/>
    <x v="0"/>
    <x v="3"/>
    <d v="2025-02-01T00:00:00"/>
  </r>
  <r>
    <x v="1"/>
    <x v="6"/>
    <x v="4"/>
    <x v="2"/>
    <x v="0"/>
    <d v="2025-02-14T00:00:00"/>
  </r>
  <r>
    <x v="1"/>
    <x v="1"/>
    <x v="1"/>
    <x v="2"/>
    <x v="3"/>
    <d v="2025-02-06T00:00:00"/>
  </r>
  <r>
    <x v="1"/>
    <x v="0"/>
    <x v="0"/>
    <x v="0"/>
    <x v="3"/>
    <d v="2025-02-22T00:00:00"/>
  </r>
  <r>
    <x v="0"/>
    <x v="0"/>
    <x v="0"/>
    <x v="0"/>
    <x v="0"/>
    <d v="2025-02-02T00:00:00"/>
  </r>
  <r>
    <x v="0"/>
    <x v="0"/>
    <x v="0"/>
    <x v="0"/>
    <x v="1"/>
    <d v="2025-02-18T00:00:00"/>
  </r>
  <r>
    <x v="1"/>
    <x v="3"/>
    <x v="4"/>
    <x v="3"/>
    <x v="2"/>
    <d v="2025-02-14T00:00:00"/>
  </r>
  <r>
    <x v="1"/>
    <x v="10"/>
    <x v="3"/>
    <x v="4"/>
    <x v="4"/>
    <d v="2025-02-14T00:00:00"/>
  </r>
  <r>
    <x v="1"/>
    <x v="0"/>
    <x v="0"/>
    <x v="0"/>
    <x v="1"/>
    <d v="2025-02-11T00:00:00"/>
  </r>
  <r>
    <x v="1"/>
    <x v="6"/>
    <x v="4"/>
    <x v="2"/>
    <x v="0"/>
    <d v="2025-02-28T00:00:00"/>
  </r>
  <r>
    <x v="1"/>
    <x v="0"/>
    <x v="0"/>
    <x v="0"/>
    <x v="2"/>
    <d v="2025-02-28T00:00:00"/>
  </r>
  <r>
    <x v="1"/>
    <x v="8"/>
    <x v="1"/>
    <x v="1"/>
    <x v="4"/>
    <d v="2025-02-22T00:00:00"/>
  </r>
  <r>
    <x v="1"/>
    <x v="0"/>
    <x v="0"/>
    <x v="0"/>
    <x v="1"/>
    <d v="2025-02-01T00:00:00"/>
  </r>
  <r>
    <x v="1"/>
    <x v="0"/>
    <x v="0"/>
    <x v="0"/>
    <x v="2"/>
    <d v="2025-03-30T00:00:00"/>
  </r>
  <r>
    <x v="1"/>
    <x v="1"/>
    <x v="4"/>
    <x v="2"/>
    <x v="2"/>
    <d v="2025-03-27T00:00:00"/>
  </r>
  <r>
    <x v="1"/>
    <x v="0"/>
    <x v="0"/>
    <x v="0"/>
    <x v="4"/>
    <d v="2025-03-27T00:00:00"/>
  </r>
  <r>
    <x v="1"/>
    <x v="3"/>
    <x v="4"/>
    <x v="2"/>
    <x v="0"/>
    <d v="2025-03-26T00:00:00"/>
  </r>
  <r>
    <x v="1"/>
    <x v="0"/>
    <x v="0"/>
    <x v="0"/>
    <x v="1"/>
    <d v="2025-03-31T00:00:00"/>
  </r>
  <r>
    <x v="1"/>
    <x v="1"/>
    <x v="1"/>
    <x v="3"/>
    <x v="1"/>
    <d v="2025-03-06T00:00:00"/>
  </r>
  <r>
    <x v="0"/>
    <x v="1"/>
    <x v="1"/>
    <x v="3"/>
    <x v="2"/>
    <d v="2025-03-30T00:00:00"/>
  </r>
  <r>
    <x v="1"/>
    <x v="0"/>
    <x v="0"/>
    <x v="0"/>
    <x v="4"/>
    <d v="2025-03-30T00:00:00"/>
  </r>
  <r>
    <x v="1"/>
    <x v="3"/>
    <x v="4"/>
    <x v="2"/>
    <x v="0"/>
    <d v="2025-03-06T00:00:00"/>
  </r>
  <r>
    <x v="1"/>
    <x v="0"/>
    <x v="0"/>
    <x v="0"/>
    <x v="2"/>
    <d v="2025-03-30T00:00:00"/>
  </r>
  <r>
    <x v="0"/>
    <x v="0"/>
    <x v="0"/>
    <x v="0"/>
    <x v="4"/>
    <d v="2025-03-27T00:00:00"/>
  </r>
  <r>
    <x v="0"/>
    <x v="8"/>
    <x v="1"/>
    <x v="1"/>
    <x v="4"/>
    <d v="2025-03-19T00:00:00"/>
  </r>
  <r>
    <x v="1"/>
    <x v="1"/>
    <x v="1"/>
    <x v="1"/>
    <x v="2"/>
    <d v="2025-03-08T00:00:00"/>
  </r>
  <r>
    <x v="1"/>
    <x v="0"/>
    <x v="0"/>
    <x v="0"/>
    <x v="2"/>
    <d v="2025-03-08T00:00:00"/>
  </r>
  <r>
    <x v="1"/>
    <x v="6"/>
    <x v="4"/>
    <x v="2"/>
    <x v="2"/>
    <d v="2025-03-20T00:00:00"/>
  </r>
  <r>
    <x v="0"/>
    <x v="1"/>
    <x v="1"/>
    <x v="3"/>
    <x v="4"/>
    <d v="2025-03-03T00:00:00"/>
  </r>
  <r>
    <x v="1"/>
    <x v="11"/>
    <x v="0"/>
    <x v="3"/>
    <x v="1"/>
    <d v="2025-03-08T00:00:00"/>
  </r>
  <r>
    <x v="1"/>
    <x v="8"/>
    <x v="1"/>
    <x v="1"/>
    <x v="2"/>
    <d v="2025-03-01T00:00:00"/>
  </r>
  <r>
    <x v="1"/>
    <x v="0"/>
    <x v="0"/>
    <x v="0"/>
    <x v="4"/>
    <d v="2025-03-12T00:00:00"/>
  </r>
  <r>
    <x v="1"/>
    <x v="0"/>
    <x v="0"/>
    <x v="0"/>
    <x v="0"/>
    <d v="2025-03-06T00:00:00"/>
  </r>
  <r>
    <x v="1"/>
    <x v="1"/>
    <x v="1"/>
    <x v="3"/>
    <x v="0"/>
    <d v="2025-03-26T00:00:00"/>
  </r>
  <r>
    <x v="0"/>
    <x v="0"/>
    <x v="0"/>
    <x v="0"/>
    <x v="3"/>
    <d v="2025-03-10T00:00:00"/>
  </r>
  <r>
    <x v="1"/>
    <x v="9"/>
    <x v="2"/>
    <x v="1"/>
    <x v="1"/>
    <d v="2025-03-30T00:00:00"/>
  </r>
  <r>
    <x v="0"/>
    <x v="8"/>
    <x v="1"/>
    <x v="2"/>
    <x v="4"/>
    <d v="2025-03-01T00:00:00"/>
  </r>
  <r>
    <x v="1"/>
    <x v="6"/>
    <x v="3"/>
    <x v="2"/>
    <x v="2"/>
    <d v="2025-03-10T00:00:00"/>
  </r>
  <r>
    <x v="1"/>
    <x v="0"/>
    <x v="0"/>
    <x v="0"/>
    <x v="2"/>
    <d v="2025-03-22T00:00:00"/>
  </r>
  <r>
    <x v="1"/>
    <x v="0"/>
    <x v="0"/>
    <x v="0"/>
    <x v="1"/>
    <d v="2025-03-29T00:00:00"/>
  </r>
  <r>
    <x v="1"/>
    <x v="8"/>
    <x v="4"/>
    <x v="2"/>
    <x v="2"/>
    <d v="2025-03-21T00:00:00"/>
  </r>
  <r>
    <x v="1"/>
    <x v="0"/>
    <x v="0"/>
    <x v="0"/>
    <x v="4"/>
    <d v="2025-03-23T00:00:00"/>
  </r>
  <r>
    <x v="1"/>
    <x v="1"/>
    <x v="2"/>
    <x v="1"/>
    <x v="1"/>
    <d v="2025-03-08T00:00:00"/>
  </r>
  <r>
    <x v="1"/>
    <x v="1"/>
    <x v="2"/>
    <x v="1"/>
    <x v="1"/>
    <d v="2025-03-09T00:00:00"/>
  </r>
  <r>
    <x v="0"/>
    <x v="0"/>
    <x v="0"/>
    <x v="0"/>
    <x v="1"/>
    <d v="2025-03-30T00:00:00"/>
  </r>
  <r>
    <x v="0"/>
    <x v="0"/>
    <x v="0"/>
    <x v="0"/>
    <x v="3"/>
    <d v="2025-03-28T00:00:00"/>
  </r>
  <r>
    <x v="1"/>
    <x v="0"/>
    <x v="0"/>
    <x v="0"/>
    <x v="3"/>
    <d v="2025-03-30T00:00:00"/>
  </r>
  <r>
    <x v="0"/>
    <x v="8"/>
    <x v="4"/>
    <x v="2"/>
    <x v="3"/>
    <d v="2025-03-29T00:00:00"/>
  </r>
  <r>
    <x v="1"/>
    <x v="0"/>
    <x v="0"/>
    <x v="0"/>
    <x v="0"/>
    <d v="2025-03-23T00:00:00"/>
  </r>
  <r>
    <x v="1"/>
    <x v="0"/>
    <x v="0"/>
    <x v="0"/>
    <x v="2"/>
    <d v="2025-03-25T00:00:00"/>
  </r>
  <r>
    <x v="1"/>
    <x v="0"/>
    <x v="0"/>
    <x v="0"/>
    <x v="4"/>
    <d v="2025-03-22T00:00:00"/>
  </r>
  <r>
    <x v="1"/>
    <x v="6"/>
    <x v="3"/>
    <x v="2"/>
    <x v="4"/>
    <d v="2025-03-25T00:00:00"/>
  </r>
  <r>
    <x v="1"/>
    <x v="6"/>
    <x v="3"/>
    <x v="2"/>
    <x v="4"/>
    <d v="2025-03-25T00:00:00"/>
  </r>
  <r>
    <x v="1"/>
    <x v="6"/>
    <x v="4"/>
    <x v="3"/>
    <x v="4"/>
    <d v="2025-03-2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8B33C4-E2F7-497C-804E-842FF063A564}" name="PivotTable4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Agree to Rejoin">
  <location ref="A58:B64" firstHeaderRow="1" firstDataRow="1" firstDataCol="1"/>
  <pivotFields count="7">
    <pivotField showAll="0"/>
    <pivotField showAll="0"/>
    <pivotField showAll="0"/>
    <pivotField axis="axisRow" dataField="1" showAll="0" sortType="ascending">
      <items count="7">
        <item x="3"/>
        <item m="1" x="5"/>
        <item x="2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</pivotFields>
  <rowFields count="1">
    <field x="3"/>
  </rowFields>
  <rowItems count="6">
    <i>
      <x v="3"/>
    </i>
    <i>
      <x/>
    </i>
    <i>
      <x v="5"/>
    </i>
    <i>
      <x v="2"/>
    </i>
    <i>
      <x v="4"/>
    </i>
    <i t="grand">
      <x/>
    </i>
  </rowItems>
  <colItems count="1">
    <i/>
  </colItems>
  <dataFields count="1">
    <dataField name="Count" fld="3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6D5AD8-4FDF-4F7B-807F-D863CDBFFD36}" name="PivotTable3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Satisfaction Level">
  <location ref="A41:B47" firstHeaderRow="1" firstDataRow="1" firstDataCol="1"/>
  <pivotFields count="6">
    <pivotField showAll="0"/>
    <pivotField showAll="0"/>
    <pivotField axis="axisRow" dataField="1" showAll="0" sortType="ascending">
      <items count="6">
        <item x="3"/>
        <item x="4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</pivotFields>
  <rowFields count="1">
    <field x="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Count" fld="2" subtotal="count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CC715-F9FA-49CB-B08A-929A00824CB3}" name="PivotTable1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Reasons for Leaving">
  <location ref="A17:B30" firstHeaderRow="1" firstDataRow="1" firstDataCol="1"/>
  <pivotFields count="6">
    <pivotField showAll="0"/>
    <pivotField axis="axisRow" dataField="1" showAll="0" sortType="ascending">
      <items count="13">
        <item x="7"/>
        <item x="6"/>
        <item x="11"/>
        <item x="5"/>
        <item x="8"/>
        <item x="9"/>
        <item x="2"/>
        <item x="4"/>
        <item x="0"/>
        <item x="3"/>
        <item x="1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/>
  </pivotFields>
  <rowFields count="1">
    <field x="1"/>
  </rowFields>
  <rowItems count="13">
    <i>
      <x v="11"/>
    </i>
    <i>
      <x v="2"/>
    </i>
    <i>
      <x v="5"/>
    </i>
    <i>
      <x v="6"/>
    </i>
    <i>
      <x v="7"/>
    </i>
    <i>
      <x v="3"/>
    </i>
    <i>
      <x/>
    </i>
    <i>
      <x v="4"/>
    </i>
    <i>
      <x v="9"/>
    </i>
    <i>
      <x v="1"/>
    </i>
    <i>
      <x v="10"/>
    </i>
    <i>
      <x v="8"/>
    </i>
    <i t="grand">
      <x/>
    </i>
  </rowItems>
  <colItems count="1">
    <i/>
  </colItems>
  <dataFields count="1">
    <dataField name="Count" fld="1" subtotal="count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872441-5582-454B-AB92-E65B8038109F}" name="PivotTable11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Gender">
  <location ref="A3:B6" firstHeaderRow="1" firstDataRow="1" firstDataCol="1"/>
  <pivotFields count="6">
    <pivotField axis="axisRow" dataField="1" showAll="0" sortType="a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" fld="0" subtotal="count" baseField="0" baseItem="0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9981A1-EF14-4073-B209-FBF69E363571}" name="PivotTable6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93:B97" firstHeaderRow="1" firstDataRow="1" firstDataCol="1"/>
  <pivotFields count="7">
    <pivotField showAll="0"/>
    <pivotField showAll="0"/>
    <pivotField showAll="0"/>
    <pivotField showAll="0"/>
    <pivotField showAll="0"/>
    <pivotField numFmtId="14" showAll="0"/>
    <pivotField axis="axisRow" dataField="1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ount of Exit Month" fld="6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F6A0E-80AF-4D9F-9E01-D49CDE65B3A0}" name="PivotTable5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Contractor">
  <location ref="A76:B82" firstHeaderRow="1" firstDataRow="1" firstDataCol="1"/>
  <pivotFields count="6">
    <pivotField showAll="0"/>
    <pivotField showAll="0"/>
    <pivotField showAll="0"/>
    <pivotField showAll="0"/>
    <pivotField axis="axisRow" dataField="1" showAll="0" sortType="ascending">
      <items count="6">
        <item x="3"/>
        <item x="2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" fld="4" subtotal="count" baseField="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D6DC43-951F-405B-9485-0293AE4E7744}" name="PivotTable15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63:N70" firstHeaderRow="1" firstDataRow="2" firstDataCol="1"/>
  <pivotFields count="7">
    <pivotField dataField="1" showAll="0"/>
    <pivotField axis="axisCol" showAll="0">
      <items count="13">
        <item x="7"/>
        <item x="6"/>
        <item x="11"/>
        <item x="5"/>
        <item x="8"/>
        <item x="9"/>
        <item x="2"/>
        <item x="4"/>
        <item x="0"/>
        <item x="3"/>
        <item x="1"/>
        <item x="10"/>
        <item t="default"/>
      </items>
    </pivotField>
    <pivotField showAll="0"/>
    <pivotField showAll="0"/>
    <pivotField axis="axisRow" showAll="0">
      <items count="6">
        <item x="3"/>
        <item x="2"/>
        <item x="0"/>
        <item x="1"/>
        <item x="4"/>
        <item t="default"/>
      </items>
    </pivotField>
    <pivotField numFmtId="14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ount of Gender" fld="0" subtotal="count" baseField="0" baseItem="0"/>
  </dataField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3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28885-F5A7-4168-810C-6143D8ABE208}" name="PivotTable13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6:G43" firstHeaderRow="1" firstDataRow="2" firstDataCol="1"/>
  <pivotFields count="7">
    <pivotField dataField="1" showAll="0"/>
    <pivotField showAll="0"/>
    <pivotField axis="axisRow" showAll="0" sortType="ascending">
      <items count="6">
        <item x="3"/>
        <item x="4"/>
        <item x="1"/>
        <item x="2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5"/>
            </reference>
          </references>
        </pivotArea>
      </autoSortScope>
    </pivotField>
    <pivotField axis="axisCol" showAll="0">
      <items count="7">
        <item x="3"/>
        <item m="1" x="5"/>
        <item x="2"/>
        <item x="4"/>
        <item x="0"/>
        <item x="1"/>
        <item t="default"/>
      </items>
    </pivotField>
    <pivotField showAll="0"/>
    <pivotField numFmtId="14" showAll="0"/>
    <pivotField showAll="0"/>
  </pivotFields>
  <rowFields count="1">
    <field x="2"/>
  </rowFields>
  <rowItems count="6">
    <i>
      <x/>
    </i>
    <i>
      <x v="4"/>
    </i>
    <i>
      <x v="1"/>
    </i>
    <i>
      <x v="3"/>
    </i>
    <i>
      <x v="2"/>
    </i>
    <i t="grand">
      <x/>
    </i>
  </rowItems>
  <colFields count="1">
    <field x="3"/>
  </colFields>
  <colItems count="6">
    <i>
      <x/>
    </i>
    <i>
      <x v="2"/>
    </i>
    <i>
      <x v="3"/>
    </i>
    <i>
      <x v="4"/>
    </i>
    <i>
      <x v="5"/>
    </i>
    <i t="grand">
      <x/>
    </i>
  </colItems>
  <dataFields count="1">
    <dataField name="Count of Gender" fld="0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0B842A-9AF1-49A8-B349-3872F7BE7423}" name="PivotTable12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colHeaderCaption="Satisfaction level">
  <location ref="A1:G15" firstHeaderRow="1" firstDataRow="2" firstDataCol="1"/>
  <pivotFields count="7">
    <pivotField showAll="0"/>
    <pivotField axis="axisRow" dataField="1" showAll="0" sortType="ascending">
      <items count="13">
        <item x="7"/>
        <item x="6"/>
        <item x="11"/>
        <item x="5"/>
        <item x="8"/>
        <item x="9"/>
        <item x="2"/>
        <item x="4"/>
        <item x="0"/>
        <item x="3"/>
        <item x="1"/>
        <item x="1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" count="1" selected="0">
              <x v="1"/>
            </reference>
          </references>
        </pivotArea>
      </autoSortScope>
    </pivotField>
    <pivotField axis="axisCol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numFmtId="14" showAll="0"/>
    <pivotField showAll="0"/>
  </pivotFields>
  <rowFields count="1">
    <field x="1"/>
  </rowFields>
  <rowItems count="13">
    <i>
      <x v="5"/>
    </i>
    <i>
      <x v="6"/>
    </i>
    <i>
      <x v="8"/>
    </i>
    <i>
      <x v="7"/>
    </i>
    <i>
      <x v="11"/>
    </i>
    <i>
      <x v="3"/>
    </i>
    <i>
      <x v="2"/>
    </i>
    <i>
      <x v="4"/>
    </i>
    <i>
      <x/>
    </i>
    <i>
      <x v="10"/>
    </i>
    <i>
      <x v="1"/>
    </i>
    <i>
      <x v="9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Reason For Leaving" fld="1" subtotal="count" baseField="1" baseItem="0"/>
  </dataFields>
  <formats count="30"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2" type="button" dataOnly="0" labelOnly="1" outline="0" axis="axisCol" fieldPosition="0"/>
    </format>
    <format dxfId="55">
      <pivotArea type="topRight" dataOnly="0" labelOnly="1" outline="0" fieldPosition="0"/>
    </format>
    <format dxfId="54">
      <pivotArea field="1" type="button" dataOnly="0" labelOnly="1" outline="0" axis="axisRow" fieldPosition="0"/>
    </format>
    <format dxfId="53">
      <pivotArea dataOnly="0" labelOnly="1" fieldPosition="0">
        <references count="1">
          <reference field="1" count="0"/>
        </references>
      </pivotArea>
    </format>
    <format dxfId="52">
      <pivotArea dataOnly="0" labelOnly="1" grandRow="1" outline="0" fieldPosition="0"/>
    </format>
    <format dxfId="51">
      <pivotArea dataOnly="0" labelOnly="1" fieldPosition="0">
        <references count="1">
          <reference field="2" count="0"/>
        </references>
      </pivotArea>
    </format>
    <format dxfId="50">
      <pivotArea dataOnly="0" labelOnly="1" grandCol="1" outline="0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2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1" type="button" dataOnly="0" labelOnly="1" outline="0" axis="axisRow" fieldPosition="0"/>
    </format>
    <format dxfId="43">
      <pivotArea dataOnly="0" labelOnly="1" fieldPosition="0">
        <references count="1">
          <reference field="1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2" count="0"/>
        </references>
      </pivotArea>
    </format>
    <format dxfId="40">
      <pivotArea dataOnly="0" labelOnly="1" grandCol="1" outline="0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2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1">
          <reference field="2" count="0"/>
        </references>
      </pivotArea>
    </format>
    <format dxfId="30">
      <pivotArea dataOnly="0" labelOnly="1" grandCol="1" outline="0" fieldPosition="0"/>
    </format>
  </format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D17A07-816B-47D0-9742-5ACBC1489B98}" name="PivotTable16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N7" firstHeaderRow="1" firstDataRow="2" firstDataCol="1" rowPageCount="1" colPageCount="1"/>
  <pivotFields count="7">
    <pivotField axis="axisRow" dataField="1" showAll="0">
      <items count="3">
        <item x="0"/>
        <item x="1"/>
        <item t="default"/>
      </items>
    </pivotField>
    <pivotField axis="axisCol" multipleItemSelectionAllowed="1" showAll="0">
      <items count="13">
        <item x="7"/>
        <item x="6"/>
        <item x="11"/>
        <item x="5"/>
        <item x="8"/>
        <item x="9"/>
        <item x="2"/>
        <item x="4"/>
        <item x="0"/>
        <item x="3"/>
        <item x="1"/>
        <item x="10"/>
        <item t="default"/>
      </items>
    </pivotField>
    <pivotField showAll="0"/>
    <pivotField axis="axisPage" multipleItemSelectionAllowed="1" showAll="0">
      <items count="7">
        <item x="3"/>
        <item m="1" x="5"/>
        <item x="2"/>
        <item x="4"/>
        <item x="0"/>
        <item x="1"/>
        <item t="default"/>
      </items>
    </pivotField>
    <pivotField showAll="0"/>
    <pivotField numFmtId="14"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3" hier="-1"/>
  </pageFields>
  <dataFields count="1">
    <dataField name="Count of Gender" fld="0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35C56F-6A93-4338-A810-7002B9EFD769}" name="PivotTable17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:E32" firstHeaderRow="1" firstDataRow="2" firstDataCol="1" rowPageCount="1" colPageCount="1"/>
  <pivotFields count="7">
    <pivotField dataField="1" showAll="0"/>
    <pivotField axis="axisPage" multipleItemSelectionAllowed="1" showAll="0">
      <items count="13">
        <item h="1" x="7"/>
        <item x="6"/>
        <item h="1" x="11"/>
        <item h="1" x="5"/>
        <item h="1" x="8"/>
        <item h="1" x="9"/>
        <item h="1" x="2"/>
        <item h="1" x="4"/>
        <item h="1" x="0"/>
        <item h="1" x="3"/>
        <item h="1" x="1"/>
        <item h="1" x="10"/>
        <item t="default"/>
      </items>
    </pivotField>
    <pivotField axis="axisCol" showAll="0">
      <items count="6">
        <item x="3"/>
        <item x="4"/>
        <item x="1"/>
        <item x="2"/>
        <item x="0"/>
        <item t="default"/>
      </items>
    </pivotField>
    <pivotField showAll="0"/>
    <pivotField axis="axisRow" showAll="0">
      <items count="6">
        <item x="3"/>
        <item x="2"/>
        <item x="0"/>
        <item x="1"/>
        <item x="4"/>
        <item t="default"/>
      </items>
    </pivotField>
    <pivotField numFmtId="14" showAll="0"/>
    <pivotField showAll="0"/>
  </pivotFields>
  <rowFields count="1">
    <field x="4"/>
  </rowFields>
  <rowItems count="5"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Count of Gend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9E713-2889-45C5-9262-623E66AE5033}">
  <dimension ref="B2:S50"/>
  <sheetViews>
    <sheetView topLeftCell="A36" zoomScaleNormal="100" workbookViewId="0">
      <selection activeCell="J50" sqref="J50"/>
    </sheetView>
  </sheetViews>
  <sheetFormatPr defaultColWidth="9.1796875" defaultRowHeight="11.5" x14ac:dyDescent="0.25"/>
  <cols>
    <col min="1" max="1" width="2" style="1" customWidth="1"/>
    <col min="2" max="2" width="17.90625" style="1" bestFit="1" customWidth="1"/>
    <col min="3" max="3" width="14.08984375" style="1" bestFit="1" customWidth="1"/>
    <col min="4" max="4" width="13.81640625" style="1" bestFit="1" customWidth="1"/>
    <col min="5" max="5" width="18.26953125" style="1" bestFit="1" customWidth="1"/>
    <col min="6" max="6" width="12.90625" style="1" bestFit="1" customWidth="1"/>
    <col min="7" max="7" width="10.7265625" style="1" bestFit="1" customWidth="1"/>
    <col min="8" max="8" width="14.26953125" style="1" bestFit="1" customWidth="1"/>
    <col min="9" max="9" width="16.6328125" style="1" bestFit="1" customWidth="1"/>
    <col min="10" max="10" width="22.7265625" style="1" bestFit="1" customWidth="1"/>
    <col min="11" max="11" width="18.1796875" style="1" bestFit="1" customWidth="1"/>
    <col min="12" max="12" width="11.54296875" style="1" bestFit="1" customWidth="1"/>
    <col min="13" max="13" width="38.1796875" style="1" customWidth="1"/>
    <col min="14" max="14" width="23.81640625" style="1" bestFit="1" customWidth="1"/>
    <col min="15" max="15" width="35.54296875" style="1" bestFit="1" customWidth="1"/>
    <col min="16" max="16" width="20.54296875" style="1" bestFit="1" customWidth="1"/>
    <col min="17" max="17" width="19.08984375" style="1" bestFit="1" customWidth="1"/>
    <col min="18" max="18" width="21.36328125" style="1" bestFit="1" customWidth="1"/>
    <col min="19" max="19" width="20.453125" style="1" bestFit="1" customWidth="1"/>
    <col min="20" max="16384" width="9.1796875" style="1"/>
  </cols>
  <sheetData>
    <row r="2" spans="2:19" ht="14" x14ac:dyDescent="0.3">
      <c r="B2" s="9">
        <v>45658</v>
      </c>
    </row>
    <row r="3" spans="2:19" ht="13" x14ac:dyDescent="0.2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790</v>
      </c>
      <c r="R3" s="2" t="s">
        <v>15</v>
      </c>
      <c r="S3" s="2" t="s">
        <v>16</v>
      </c>
    </row>
    <row r="4" spans="2:19" ht="12" x14ac:dyDescent="0.25"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4">
        <v>44959</v>
      </c>
      <c r="I4" s="3" t="s">
        <v>18</v>
      </c>
      <c r="J4" s="5" t="s">
        <v>26</v>
      </c>
      <c r="K4" s="4">
        <v>45660</v>
      </c>
      <c r="L4" s="4">
        <v>33821</v>
      </c>
      <c r="M4" s="3" t="s">
        <v>27</v>
      </c>
      <c r="N4" s="3" t="s">
        <v>28</v>
      </c>
      <c r="O4" s="6" t="s">
        <v>39</v>
      </c>
      <c r="P4" s="6" t="s">
        <v>30</v>
      </c>
      <c r="Q4" s="6" t="s">
        <v>30</v>
      </c>
      <c r="R4" s="6" t="s">
        <v>30</v>
      </c>
      <c r="S4" s="6" t="s">
        <v>30</v>
      </c>
    </row>
    <row r="5" spans="2:19" ht="12" x14ac:dyDescent="0.25"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17</v>
      </c>
      <c r="H5" s="4">
        <v>45604</v>
      </c>
      <c r="I5" s="3" t="s">
        <v>18</v>
      </c>
      <c r="J5" s="5" t="s">
        <v>36</v>
      </c>
      <c r="K5" s="4">
        <v>45688</v>
      </c>
      <c r="L5" s="4">
        <v>37488</v>
      </c>
      <c r="M5" s="3" t="s">
        <v>37</v>
      </c>
      <c r="N5" s="3" t="s">
        <v>38</v>
      </c>
      <c r="O5" s="6" t="s">
        <v>39</v>
      </c>
      <c r="P5" s="6" t="s">
        <v>30</v>
      </c>
      <c r="Q5" s="6" t="s">
        <v>30</v>
      </c>
      <c r="R5" s="6" t="s">
        <v>30</v>
      </c>
      <c r="S5" s="6" t="s">
        <v>30</v>
      </c>
    </row>
    <row r="6" spans="2:19" ht="12" x14ac:dyDescent="0.25">
      <c r="B6" s="3" t="s">
        <v>40</v>
      </c>
      <c r="C6" s="3" t="s">
        <v>41</v>
      </c>
      <c r="D6" s="3" t="s">
        <v>42</v>
      </c>
      <c r="E6" s="3" t="s">
        <v>43</v>
      </c>
      <c r="F6" s="3" t="s">
        <v>44</v>
      </c>
      <c r="G6" s="3" t="s">
        <v>25</v>
      </c>
      <c r="H6" s="4">
        <v>45607</v>
      </c>
      <c r="I6" s="3" t="s">
        <v>18</v>
      </c>
      <c r="J6" s="5" t="s">
        <v>45</v>
      </c>
      <c r="K6" s="4">
        <v>45667</v>
      </c>
      <c r="L6" s="4">
        <v>34561</v>
      </c>
      <c r="M6" s="3" t="s">
        <v>46</v>
      </c>
      <c r="N6" s="3" t="s">
        <v>47</v>
      </c>
      <c r="O6" s="7" t="s">
        <v>48</v>
      </c>
      <c r="P6" s="6" t="s">
        <v>49</v>
      </c>
      <c r="Q6" s="6">
        <v>4</v>
      </c>
      <c r="R6" s="6" t="s">
        <v>50</v>
      </c>
      <c r="S6" s="6" t="s">
        <v>51</v>
      </c>
    </row>
    <row r="7" spans="2:19" ht="12" x14ac:dyDescent="0.25">
      <c r="B7" s="3" t="s">
        <v>52</v>
      </c>
      <c r="C7" s="3" t="s">
        <v>53</v>
      </c>
      <c r="D7" s="3" t="s">
        <v>54</v>
      </c>
      <c r="E7" s="3" t="s">
        <v>55</v>
      </c>
      <c r="F7" s="3" t="s">
        <v>56</v>
      </c>
      <c r="G7" s="3" t="s">
        <v>17</v>
      </c>
      <c r="H7" s="4">
        <v>45607</v>
      </c>
      <c r="I7" s="3" t="s">
        <v>18</v>
      </c>
      <c r="J7" s="5" t="s">
        <v>57</v>
      </c>
      <c r="K7" s="4">
        <v>45668</v>
      </c>
      <c r="L7" s="4">
        <v>38301</v>
      </c>
      <c r="M7" s="3" t="s">
        <v>58</v>
      </c>
      <c r="N7" s="3" t="s">
        <v>59</v>
      </c>
      <c r="O7" s="6" t="s">
        <v>48</v>
      </c>
      <c r="P7" s="6" t="s">
        <v>60</v>
      </c>
      <c r="Q7" s="6">
        <v>5</v>
      </c>
      <c r="R7" s="6" t="s">
        <v>50</v>
      </c>
      <c r="S7" s="6" t="s">
        <v>61</v>
      </c>
    </row>
    <row r="8" spans="2:19" ht="12" x14ac:dyDescent="0.25">
      <c r="B8" s="3" t="s">
        <v>62</v>
      </c>
      <c r="C8" s="3" t="s">
        <v>63</v>
      </c>
      <c r="D8" s="3" t="s">
        <v>42</v>
      </c>
      <c r="E8" s="3" t="s">
        <v>64</v>
      </c>
      <c r="F8" s="3" t="s">
        <v>65</v>
      </c>
      <c r="G8" s="3" t="s">
        <v>17</v>
      </c>
      <c r="H8" s="4">
        <v>45294</v>
      </c>
      <c r="I8" s="3" t="s">
        <v>18</v>
      </c>
      <c r="J8" s="5" t="s">
        <v>26</v>
      </c>
      <c r="K8" s="4">
        <v>45678</v>
      </c>
      <c r="L8" s="4">
        <v>38189</v>
      </c>
      <c r="M8" s="3" t="s">
        <v>66</v>
      </c>
      <c r="N8" s="3" t="s">
        <v>67</v>
      </c>
      <c r="O8" s="6" t="s">
        <v>48</v>
      </c>
      <c r="P8" s="6" t="s">
        <v>49</v>
      </c>
      <c r="Q8" s="6">
        <v>2</v>
      </c>
      <c r="R8" s="6" t="s">
        <v>68</v>
      </c>
      <c r="S8" s="6" t="s">
        <v>30</v>
      </c>
    </row>
    <row r="9" spans="2:19" ht="12" x14ac:dyDescent="0.25">
      <c r="B9" s="3" t="s">
        <v>69</v>
      </c>
      <c r="C9" s="3" t="s">
        <v>70</v>
      </c>
      <c r="D9" s="3" t="s">
        <v>71</v>
      </c>
      <c r="E9" s="3" t="s">
        <v>72</v>
      </c>
      <c r="F9" s="3" t="s">
        <v>73</v>
      </c>
      <c r="G9" s="3" t="s">
        <v>17</v>
      </c>
      <c r="H9" s="4">
        <v>45537</v>
      </c>
      <c r="I9" s="3" t="s">
        <v>18</v>
      </c>
      <c r="J9" s="5" t="s">
        <v>57</v>
      </c>
      <c r="K9" s="4">
        <v>45681</v>
      </c>
      <c r="L9" s="4">
        <v>38953</v>
      </c>
      <c r="M9" s="3" t="s">
        <v>74</v>
      </c>
      <c r="N9" s="3" t="s">
        <v>75</v>
      </c>
      <c r="O9" s="6" t="s">
        <v>48</v>
      </c>
      <c r="P9" s="6" t="s">
        <v>49</v>
      </c>
      <c r="Q9" s="6">
        <v>3</v>
      </c>
      <c r="R9" s="6" t="s">
        <v>76</v>
      </c>
      <c r="S9" s="6" t="s">
        <v>30</v>
      </c>
    </row>
    <row r="10" spans="2:19" ht="12" x14ac:dyDescent="0.25">
      <c r="B10" s="3" t="s">
        <v>77</v>
      </c>
      <c r="C10" s="3" t="s">
        <v>78</v>
      </c>
      <c r="D10" s="3" t="s">
        <v>42</v>
      </c>
      <c r="E10" s="3" t="s">
        <v>79</v>
      </c>
      <c r="F10" s="3" t="s">
        <v>80</v>
      </c>
      <c r="G10" s="3" t="s">
        <v>17</v>
      </c>
      <c r="H10" s="4">
        <v>45612</v>
      </c>
      <c r="I10" s="3" t="s">
        <v>18</v>
      </c>
      <c r="J10" s="5" t="s">
        <v>45</v>
      </c>
      <c r="K10" s="4">
        <v>45687</v>
      </c>
      <c r="L10" s="4">
        <v>38550</v>
      </c>
      <c r="M10" s="3" t="s">
        <v>81</v>
      </c>
      <c r="N10" s="3" t="s">
        <v>81</v>
      </c>
      <c r="O10" s="6" t="s">
        <v>39</v>
      </c>
      <c r="P10" s="6" t="s">
        <v>30</v>
      </c>
      <c r="Q10" s="6" t="s">
        <v>30</v>
      </c>
      <c r="R10" s="6" t="s">
        <v>30</v>
      </c>
      <c r="S10" s="6" t="s">
        <v>30</v>
      </c>
    </row>
    <row r="11" spans="2:19" ht="12" x14ac:dyDescent="0.25">
      <c r="B11" s="3" t="s">
        <v>82</v>
      </c>
      <c r="C11" s="3" t="s">
        <v>83</v>
      </c>
      <c r="D11" s="3" t="s">
        <v>84</v>
      </c>
      <c r="E11" s="3" t="s">
        <v>85</v>
      </c>
      <c r="F11" s="3" t="s">
        <v>86</v>
      </c>
      <c r="G11" s="3" t="s">
        <v>17</v>
      </c>
      <c r="H11" s="4">
        <v>45614</v>
      </c>
      <c r="I11" s="3" t="s">
        <v>18</v>
      </c>
      <c r="J11" s="5" t="s">
        <v>45</v>
      </c>
      <c r="K11" s="4">
        <v>45678</v>
      </c>
      <c r="L11" s="4">
        <v>33312</v>
      </c>
      <c r="M11" s="3" t="s">
        <v>87</v>
      </c>
      <c r="N11" s="3" t="s">
        <v>88</v>
      </c>
      <c r="O11" s="6" t="s">
        <v>39</v>
      </c>
      <c r="P11" s="6" t="s">
        <v>30</v>
      </c>
      <c r="Q11" s="6" t="s">
        <v>30</v>
      </c>
      <c r="R11" s="6" t="s">
        <v>30</v>
      </c>
      <c r="S11" s="6" t="s">
        <v>30</v>
      </c>
    </row>
    <row r="12" spans="2:19" ht="12" x14ac:dyDescent="0.25">
      <c r="B12" s="3" t="s">
        <v>89</v>
      </c>
      <c r="C12" s="3" t="s">
        <v>90</v>
      </c>
      <c r="D12" s="3" t="s">
        <v>84</v>
      </c>
      <c r="E12" s="3" t="s">
        <v>91</v>
      </c>
      <c r="F12" s="3" t="s">
        <v>92</v>
      </c>
      <c r="G12" s="3" t="s">
        <v>17</v>
      </c>
      <c r="H12" s="4">
        <v>45310</v>
      </c>
      <c r="I12" s="3" t="s">
        <v>18</v>
      </c>
      <c r="J12" s="5" t="s">
        <v>93</v>
      </c>
      <c r="K12" s="4">
        <v>45673</v>
      </c>
      <c r="L12" s="4">
        <v>35615</v>
      </c>
      <c r="M12" s="3" t="s">
        <v>94</v>
      </c>
      <c r="N12" s="3" t="s">
        <v>95</v>
      </c>
      <c r="O12" s="6" t="s">
        <v>278</v>
      </c>
      <c r="P12" s="6" t="s">
        <v>96</v>
      </c>
      <c r="Q12" s="6">
        <v>2</v>
      </c>
      <c r="R12" s="6" t="s">
        <v>68</v>
      </c>
      <c r="S12" s="6" t="s">
        <v>30</v>
      </c>
    </row>
    <row r="13" spans="2:19" ht="12" x14ac:dyDescent="0.25">
      <c r="B13" s="3" t="s">
        <v>97</v>
      </c>
      <c r="C13" s="3" t="s">
        <v>98</v>
      </c>
      <c r="D13" s="3" t="s">
        <v>42</v>
      </c>
      <c r="E13" s="3" t="s">
        <v>99</v>
      </c>
      <c r="F13" s="3" t="s">
        <v>100</v>
      </c>
      <c r="G13" s="3" t="s">
        <v>17</v>
      </c>
      <c r="H13" s="4">
        <v>45612</v>
      </c>
      <c r="I13" s="3" t="s">
        <v>18</v>
      </c>
      <c r="J13" s="5" t="s">
        <v>36</v>
      </c>
      <c r="K13" s="4">
        <v>45687</v>
      </c>
      <c r="L13" s="4">
        <v>36892</v>
      </c>
      <c r="M13" s="3" t="s">
        <v>101</v>
      </c>
      <c r="N13" s="3" t="s">
        <v>102</v>
      </c>
      <c r="O13" s="6" t="s">
        <v>159</v>
      </c>
      <c r="P13" s="6" t="s">
        <v>30</v>
      </c>
      <c r="Q13" s="6" t="s">
        <v>30</v>
      </c>
      <c r="R13" s="6" t="s">
        <v>30</v>
      </c>
      <c r="S13" s="6" t="s">
        <v>30</v>
      </c>
    </row>
    <row r="14" spans="2:19" ht="12" x14ac:dyDescent="0.25">
      <c r="B14" s="3" t="s">
        <v>103</v>
      </c>
      <c r="C14" s="3" t="s">
        <v>104</v>
      </c>
      <c r="D14" s="3" t="s">
        <v>42</v>
      </c>
      <c r="E14" s="3" t="s">
        <v>105</v>
      </c>
      <c r="F14" s="3" t="s">
        <v>106</v>
      </c>
      <c r="G14" s="3" t="s">
        <v>17</v>
      </c>
      <c r="H14" s="4">
        <v>45605</v>
      </c>
      <c r="I14" s="3" t="s">
        <v>18</v>
      </c>
      <c r="J14" s="5" t="s">
        <v>36</v>
      </c>
      <c r="K14" s="4">
        <v>45661</v>
      </c>
      <c r="L14" s="4">
        <v>38357</v>
      </c>
      <c r="M14" s="3" t="s">
        <v>107</v>
      </c>
      <c r="N14" s="3" t="s">
        <v>108</v>
      </c>
      <c r="O14" s="6" t="s">
        <v>48</v>
      </c>
      <c r="P14" s="6" t="s">
        <v>96</v>
      </c>
      <c r="Q14" s="6">
        <v>2</v>
      </c>
      <c r="R14" s="6" t="s">
        <v>76</v>
      </c>
      <c r="S14" s="6" t="s">
        <v>51</v>
      </c>
    </row>
    <row r="15" spans="2:19" ht="12" x14ac:dyDescent="0.25">
      <c r="B15" s="3" t="s">
        <v>109</v>
      </c>
      <c r="C15" s="3" t="s">
        <v>110</v>
      </c>
      <c r="D15" s="3" t="s">
        <v>42</v>
      </c>
      <c r="E15" s="3" t="s">
        <v>111</v>
      </c>
      <c r="F15" s="3" t="s">
        <v>112</v>
      </c>
      <c r="G15" s="3" t="s">
        <v>25</v>
      </c>
      <c r="H15" s="4">
        <v>45369</v>
      </c>
      <c r="I15" s="3" t="s">
        <v>18</v>
      </c>
      <c r="J15" s="5" t="s">
        <v>93</v>
      </c>
      <c r="K15" s="4">
        <v>45684</v>
      </c>
      <c r="L15" s="4">
        <v>36909</v>
      </c>
      <c r="M15" s="3" t="s">
        <v>113</v>
      </c>
      <c r="N15" s="3" t="s">
        <v>114</v>
      </c>
      <c r="O15" s="6" t="s">
        <v>48</v>
      </c>
      <c r="P15" s="6" t="s">
        <v>115</v>
      </c>
      <c r="Q15" s="6">
        <v>4</v>
      </c>
      <c r="R15" s="6" t="s">
        <v>68</v>
      </c>
      <c r="S15" s="6" t="s">
        <v>30</v>
      </c>
    </row>
    <row r="16" spans="2:19" ht="12" x14ac:dyDescent="0.25">
      <c r="B16" s="3" t="s">
        <v>116</v>
      </c>
      <c r="C16" s="3" t="s">
        <v>117</v>
      </c>
      <c r="D16" s="3" t="s">
        <v>33</v>
      </c>
      <c r="E16" s="3" t="s">
        <v>118</v>
      </c>
      <c r="F16" s="3" t="s">
        <v>119</v>
      </c>
      <c r="G16" s="3" t="s">
        <v>17</v>
      </c>
      <c r="H16" s="4">
        <v>45381</v>
      </c>
      <c r="I16" s="3" t="s">
        <v>18</v>
      </c>
      <c r="J16" s="5" t="s">
        <v>57</v>
      </c>
      <c r="K16" s="4">
        <v>45665</v>
      </c>
      <c r="L16" s="4">
        <v>37748</v>
      </c>
      <c r="M16" s="3" t="s">
        <v>120</v>
      </c>
      <c r="N16" s="3" t="s">
        <v>121</v>
      </c>
      <c r="O16" s="6" t="s">
        <v>39</v>
      </c>
      <c r="P16" s="6" t="s">
        <v>30</v>
      </c>
      <c r="Q16" s="6" t="s">
        <v>30</v>
      </c>
      <c r="R16" s="6" t="s">
        <v>30</v>
      </c>
      <c r="S16" s="6" t="s">
        <v>30</v>
      </c>
    </row>
    <row r="17" spans="2:19" ht="12" x14ac:dyDescent="0.25">
      <c r="B17" s="3" t="s">
        <v>122</v>
      </c>
      <c r="C17" s="3" t="s">
        <v>123</v>
      </c>
      <c r="D17" s="3" t="s">
        <v>124</v>
      </c>
      <c r="E17" s="3" t="s">
        <v>125</v>
      </c>
      <c r="F17" s="3" t="s">
        <v>126</v>
      </c>
      <c r="G17" s="3" t="s">
        <v>25</v>
      </c>
      <c r="H17" s="4">
        <v>45528</v>
      </c>
      <c r="I17" s="3" t="s">
        <v>18</v>
      </c>
      <c r="J17" s="5" t="s">
        <v>45</v>
      </c>
      <c r="K17" s="4">
        <v>45663</v>
      </c>
      <c r="L17" s="4">
        <v>38704</v>
      </c>
      <c r="M17" s="3" t="s">
        <v>127</v>
      </c>
      <c r="N17" s="3" t="s">
        <v>128</v>
      </c>
      <c r="O17" s="6" t="s">
        <v>48</v>
      </c>
      <c r="P17" s="6" t="s">
        <v>96</v>
      </c>
      <c r="Q17" s="6">
        <v>3</v>
      </c>
      <c r="R17" s="6" t="s">
        <v>68</v>
      </c>
      <c r="S17" s="6" t="s">
        <v>30</v>
      </c>
    </row>
    <row r="18" spans="2:19" ht="12" x14ac:dyDescent="0.25">
      <c r="B18" s="3" t="s">
        <v>129</v>
      </c>
      <c r="C18" s="3" t="s">
        <v>130</v>
      </c>
      <c r="D18" s="3" t="s">
        <v>124</v>
      </c>
      <c r="E18" s="3" t="s">
        <v>131</v>
      </c>
      <c r="F18" s="3" t="s">
        <v>132</v>
      </c>
      <c r="G18" s="3" t="s">
        <v>25</v>
      </c>
      <c r="H18" s="4">
        <v>45528</v>
      </c>
      <c r="I18" s="3" t="s">
        <v>18</v>
      </c>
      <c r="J18" s="5" t="s">
        <v>45</v>
      </c>
      <c r="K18" s="4">
        <v>45663</v>
      </c>
      <c r="L18" s="4">
        <v>38091</v>
      </c>
      <c r="M18" s="3" t="s">
        <v>127</v>
      </c>
      <c r="N18" s="3" t="s">
        <v>128</v>
      </c>
      <c r="O18" s="6" t="s">
        <v>48</v>
      </c>
      <c r="P18" s="6" t="s">
        <v>133</v>
      </c>
      <c r="Q18" s="6">
        <v>4</v>
      </c>
      <c r="R18" s="6" t="s">
        <v>50</v>
      </c>
      <c r="S18" s="6" t="s">
        <v>51</v>
      </c>
    </row>
    <row r="19" spans="2:19" ht="12" x14ac:dyDescent="0.25">
      <c r="B19" s="3" t="s">
        <v>134</v>
      </c>
      <c r="C19" s="3" t="s">
        <v>135</v>
      </c>
      <c r="D19" s="3" t="s">
        <v>33</v>
      </c>
      <c r="E19" s="3" t="s">
        <v>136</v>
      </c>
      <c r="F19" s="3" t="s">
        <v>137</v>
      </c>
      <c r="G19" s="3" t="s">
        <v>17</v>
      </c>
      <c r="H19" s="4">
        <v>45538</v>
      </c>
      <c r="I19" s="3" t="s">
        <v>18</v>
      </c>
      <c r="J19" s="5" t="s">
        <v>26</v>
      </c>
      <c r="K19" s="4">
        <v>45685</v>
      </c>
      <c r="L19" s="4">
        <v>36356</v>
      </c>
      <c r="M19" s="3" t="s">
        <v>138</v>
      </c>
      <c r="N19" s="3" t="s">
        <v>139</v>
      </c>
      <c r="O19" s="6" t="s">
        <v>39</v>
      </c>
      <c r="P19" s="6" t="s">
        <v>30</v>
      </c>
      <c r="Q19" s="6" t="s">
        <v>30</v>
      </c>
      <c r="R19" s="6" t="s">
        <v>30</v>
      </c>
      <c r="S19" s="6" t="s">
        <v>30</v>
      </c>
    </row>
    <row r="20" spans="2:19" ht="12" x14ac:dyDescent="0.25">
      <c r="B20" s="3" t="s">
        <v>140</v>
      </c>
      <c r="C20" s="3" t="s">
        <v>141</v>
      </c>
      <c r="D20" s="3" t="s">
        <v>42</v>
      </c>
      <c r="E20" s="3" t="s">
        <v>142</v>
      </c>
      <c r="F20" s="3" t="s">
        <v>143</v>
      </c>
      <c r="G20" s="3" t="s">
        <v>25</v>
      </c>
      <c r="H20" s="4">
        <v>45547</v>
      </c>
      <c r="I20" s="3" t="s">
        <v>18</v>
      </c>
      <c r="J20" s="5" t="s">
        <v>26</v>
      </c>
      <c r="K20" s="4">
        <v>45665</v>
      </c>
      <c r="L20" s="4">
        <v>37549</v>
      </c>
      <c r="M20" s="3" t="s">
        <v>144</v>
      </c>
      <c r="N20" s="3" t="s">
        <v>145</v>
      </c>
      <c r="O20" s="6" t="s">
        <v>39</v>
      </c>
      <c r="P20" s="6" t="s">
        <v>30</v>
      </c>
      <c r="Q20" s="6" t="s">
        <v>30</v>
      </c>
      <c r="R20" s="6" t="s">
        <v>30</v>
      </c>
      <c r="S20" s="6" t="s">
        <v>30</v>
      </c>
    </row>
    <row r="21" spans="2:19" ht="12" x14ac:dyDescent="0.25">
      <c r="B21" s="3" t="s">
        <v>146</v>
      </c>
      <c r="C21" s="3" t="s">
        <v>147</v>
      </c>
      <c r="D21" s="3" t="s">
        <v>42</v>
      </c>
      <c r="E21" s="3" t="s">
        <v>148</v>
      </c>
      <c r="F21" s="3" t="s">
        <v>149</v>
      </c>
      <c r="G21" s="3" t="s">
        <v>17</v>
      </c>
      <c r="H21" s="4">
        <v>45559</v>
      </c>
      <c r="I21" s="3" t="s">
        <v>18</v>
      </c>
      <c r="J21" s="5" t="s">
        <v>26</v>
      </c>
      <c r="K21" s="4">
        <v>45686</v>
      </c>
      <c r="L21" s="4">
        <v>36162</v>
      </c>
      <c r="M21" s="3" t="s">
        <v>150</v>
      </c>
      <c r="N21" s="3" t="s">
        <v>151</v>
      </c>
      <c r="O21" s="6" t="s">
        <v>152</v>
      </c>
      <c r="P21" s="6" t="s">
        <v>176</v>
      </c>
      <c r="Q21" s="6">
        <v>4</v>
      </c>
      <c r="R21" s="6" t="s">
        <v>50</v>
      </c>
      <c r="S21" s="6" t="s">
        <v>153</v>
      </c>
    </row>
    <row r="22" spans="2:19" ht="12" x14ac:dyDescent="0.25">
      <c r="B22" s="3" t="s">
        <v>154</v>
      </c>
      <c r="C22" s="3" t="s">
        <v>155</v>
      </c>
      <c r="D22" s="3" t="s">
        <v>22</v>
      </c>
      <c r="E22" s="3" t="s">
        <v>156</v>
      </c>
      <c r="F22" s="3" t="s">
        <v>157</v>
      </c>
      <c r="G22" s="3" t="s">
        <v>25</v>
      </c>
      <c r="H22" s="4">
        <v>45617</v>
      </c>
      <c r="I22" s="3" t="s">
        <v>18</v>
      </c>
      <c r="J22" s="5" t="s">
        <v>93</v>
      </c>
      <c r="K22" s="4">
        <v>45666</v>
      </c>
      <c r="L22" s="4">
        <v>35616</v>
      </c>
      <c r="M22" s="3" t="s">
        <v>158</v>
      </c>
      <c r="N22" s="3" t="s">
        <v>158</v>
      </c>
      <c r="O22" s="6" t="s">
        <v>159</v>
      </c>
      <c r="P22" s="6" t="s">
        <v>30</v>
      </c>
      <c r="Q22" s="6" t="s">
        <v>30</v>
      </c>
      <c r="R22" s="6" t="s">
        <v>30</v>
      </c>
      <c r="S22" s="6" t="s">
        <v>30</v>
      </c>
    </row>
    <row r="23" spans="2:19" ht="12" x14ac:dyDescent="0.25">
      <c r="B23" s="3" t="s">
        <v>160</v>
      </c>
      <c r="C23" s="3" t="s">
        <v>161</v>
      </c>
      <c r="D23" s="3" t="s">
        <v>162</v>
      </c>
      <c r="E23" s="3" t="s">
        <v>163</v>
      </c>
      <c r="F23" s="3" t="s">
        <v>164</v>
      </c>
      <c r="G23" s="3" t="s">
        <v>17</v>
      </c>
      <c r="H23" s="4">
        <v>45622</v>
      </c>
      <c r="I23" s="3" t="s">
        <v>18</v>
      </c>
      <c r="J23" s="5" t="s">
        <v>57</v>
      </c>
      <c r="K23" s="4">
        <v>45661</v>
      </c>
      <c r="L23" s="4">
        <v>38847</v>
      </c>
      <c r="M23" s="3" t="s">
        <v>81</v>
      </c>
      <c r="N23" s="3" t="s">
        <v>81</v>
      </c>
      <c r="O23" s="6" t="s">
        <v>39</v>
      </c>
      <c r="P23" s="6" t="s">
        <v>30</v>
      </c>
      <c r="Q23" s="6" t="s">
        <v>30</v>
      </c>
      <c r="R23" s="6" t="s">
        <v>30</v>
      </c>
      <c r="S23" s="6" t="s">
        <v>30</v>
      </c>
    </row>
    <row r="24" spans="2:19" ht="12" x14ac:dyDescent="0.25">
      <c r="B24" s="3" t="s">
        <v>165</v>
      </c>
      <c r="C24" s="3" t="s">
        <v>166</v>
      </c>
      <c r="D24" s="3" t="s">
        <v>42</v>
      </c>
      <c r="E24" s="3" t="s">
        <v>167</v>
      </c>
      <c r="F24" s="3" t="s">
        <v>168</v>
      </c>
      <c r="G24" s="3" t="s">
        <v>25</v>
      </c>
      <c r="H24" s="4">
        <v>45607</v>
      </c>
      <c r="I24" s="3" t="s">
        <v>18</v>
      </c>
      <c r="J24" s="5" t="s">
        <v>36</v>
      </c>
      <c r="K24" s="4">
        <v>45679</v>
      </c>
      <c r="L24" s="4">
        <v>34525</v>
      </c>
      <c r="M24" s="3" t="s">
        <v>169</v>
      </c>
      <c r="N24" s="3" t="s">
        <v>170</v>
      </c>
      <c r="O24" s="6" t="s">
        <v>159</v>
      </c>
      <c r="P24" s="6" t="s">
        <v>30</v>
      </c>
      <c r="Q24" s="6" t="s">
        <v>30</v>
      </c>
      <c r="R24" s="6" t="s">
        <v>30</v>
      </c>
      <c r="S24" s="6" t="s">
        <v>30</v>
      </c>
    </row>
    <row r="25" spans="2:19" ht="12" x14ac:dyDescent="0.25">
      <c r="B25" s="3" t="s">
        <v>171</v>
      </c>
      <c r="C25" s="3" t="s">
        <v>172</v>
      </c>
      <c r="D25" s="3" t="s">
        <v>33</v>
      </c>
      <c r="E25" s="3" t="s">
        <v>173</v>
      </c>
      <c r="F25" s="3" t="s">
        <v>174</v>
      </c>
      <c r="G25" s="3" t="s">
        <v>17</v>
      </c>
      <c r="H25" s="4">
        <v>45608</v>
      </c>
      <c r="I25" s="3" t="s">
        <v>18</v>
      </c>
      <c r="J25" s="5" t="s">
        <v>36</v>
      </c>
      <c r="K25" s="4">
        <v>45664</v>
      </c>
      <c r="L25" s="4">
        <v>38413</v>
      </c>
      <c r="M25" s="3" t="s">
        <v>175</v>
      </c>
      <c r="N25" s="3" t="s">
        <v>47</v>
      </c>
      <c r="O25" s="6" t="s">
        <v>278</v>
      </c>
      <c r="P25" s="6" t="s">
        <v>176</v>
      </c>
      <c r="Q25" s="6">
        <v>3</v>
      </c>
      <c r="R25" s="6" t="s">
        <v>68</v>
      </c>
      <c r="S25" s="6" t="s">
        <v>30</v>
      </c>
    </row>
    <row r="26" spans="2:19" ht="12" x14ac:dyDescent="0.25">
      <c r="B26" s="3" t="s">
        <v>177</v>
      </c>
      <c r="C26" s="3" t="s">
        <v>178</v>
      </c>
      <c r="D26" s="3" t="s">
        <v>179</v>
      </c>
      <c r="E26" s="3" t="s">
        <v>180</v>
      </c>
      <c r="F26" s="3" t="s">
        <v>181</v>
      </c>
      <c r="G26" s="3" t="s">
        <v>17</v>
      </c>
      <c r="H26" s="4">
        <v>45610</v>
      </c>
      <c r="I26" s="3" t="s">
        <v>18</v>
      </c>
      <c r="J26" s="5" t="s">
        <v>36</v>
      </c>
      <c r="K26" s="4">
        <v>45675</v>
      </c>
      <c r="L26" s="4">
        <v>35284</v>
      </c>
      <c r="M26" s="3" t="s">
        <v>182</v>
      </c>
      <c r="N26" s="3" t="s">
        <v>183</v>
      </c>
      <c r="O26" s="6" t="s">
        <v>48</v>
      </c>
      <c r="P26" s="6" t="s">
        <v>49</v>
      </c>
      <c r="Q26" s="6">
        <v>4</v>
      </c>
      <c r="R26" s="6" t="s">
        <v>76</v>
      </c>
      <c r="S26" s="6" t="s">
        <v>51</v>
      </c>
    </row>
    <row r="27" spans="2:19" ht="12" x14ac:dyDescent="0.25">
      <c r="B27" s="3" t="s">
        <v>184</v>
      </c>
      <c r="C27" s="3" t="s">
        <v>185</v>
      </c>
      <c r="D27" s="3" t="s">
        <v>186</v>
      </c>
      <c r="E27" s="3" t="s">
        <v>187</v>
      </c>
      <c r="F27" s="3" t="s">
        <v>188</v>
      </c>
      <c r="G27" s="3" t="s">
        <v>17</v>
      </c>
      <c r="H27" s="4">
        <v>45604</v>
      </c>
      <c r="I27" s="3" t="s">
        <v>18</v>
      </c>
      <c r="J27" s="5" t="s">
        <v>36</v>
      </c>
      <c r="K27" s="4">
        <v>45681</v>
      </c>
      <c r="L27" s="4">
        <v>37088</v>
      </c>
      <c r="M27" s="3" t="s">
        <v>189</v>
      </c>
      <c r="N27" s="3" t="s">
        <v>190</v>
      </c>
      <c r="O27" s="6" t="s">
        <v>278</v>
      </c>
      <c r="P27" s="6" t="s">
        <v>176</v>
      </c>
      <c r="Q27" s="6">
        <v>3</v>
      </c>
      <c r="R27" s="6" t="s">
        <v>68</v>
      </c>
      <c r="S27" s="6" t="s">
        <v>30</v>
      </c>
    </row>
    <row r="28" spans="2:19" ht="12" x14ac:dyDescent="0.25">
      <c r="B28" s="3" t="s">
        <v>191</v>
      </c>
      <c r="C28" s="3" t="s">
        <v>192</v>
      </c>
      <c r="D28" s="3" t="s">
        <v>124</v>
      </c>
      <c r="E28" s="3" t="s">
        <v>193</v>
      </c>
      <c r="F28" s="3" t="s">
        <v>194</v>
      </c>
      <c r="G28" s="3" t="s">
        <v>25</v>
      </c>
      <c r="H28" s="4">
        <v>45616</v>
      </c>
      <c r="I28" s="3" t="s">
        <v>18</v>
      </c>
      <c r="J28" s="5" t="s">
        <v>93</v>
      </c>
      <c r="K28" s="4">
        <v>45671</v>
      </c>
      <c r="L28" s="4">
        <v>36991</v>
      </c>
      <c r="M28" s="3" t="s">
        <v>195</v>
      </c>
      <c r="N28" s="3" t="s">
        <v>195</v>
      </c>
      <c r="O28" s="6" t="s">
        <v>159</v>
      </c>
      <c r="P28" s="6" t="s">
        <v>30</v>
      </c>
      <c r="Q28" s="6" t="s">
        <v>30</v>
      </c>
      <c r="R28" s="6" t="s">
        <v>30</v>
      </c>
      <c r="S28" s="6" t="s">
        <v>30</v>
      </c>
    </row>
    <row r="29" spans="2:19" ht="12" x14ac:dyDescent="0.25">
      <c r="B29" s="3" t="s">
        <v>196</v>
      </c>
      <c r="C29" s="3" t="s">
        <v>197</v>
      </c>
      <c r="D29" s="3" t="s">
        <v>198</v>
      </c>
      <c r="E29" s="3" t="s">
        <v>199</v>
      </c>
      <c r="F29" s="3" t="s">
        <v>200</v>
      </c>
      <c r="G29" s="3" t="s">
        <v>17</v>
      </c>
      <c r="H29" s="4">
        <v>45622</v>
      </c>
      <c r="I29" s="3" t="s">
        <v>18</v>
      </c>
      <c r="J29" s="5" t="s">
        <v>93</v>
      </c>
      <c r="K29" s="4">
        <v>45661</v>
      </c>
      <c r="L29" s="4">
        <v>35079</v>
      </c>
      <c r="M29" s="3" t="s">
        <v>201</v>
      </c>
      <c r="N29" s="3" t="s">
        <v>201</v>
      </c>
      <c r="O29" s="6" t="s">
        <v>39</v>
      </c>
      <c r="P29" s="6" t="s">
        <v>30</v>
      </c>
      <c r="Q29" s="6" t="s">
        <v>30</v>
      </c>
      <c r="R29" s="6" t="s">
        <v>30</v>
      </c>
      <c r="S29" s="6" t="s">
        <v>30</v>
      </c>
    </row>
    <row r="30" spans="2:19" ht="12" x14ac:dyDescent="0.25">
      <c r="B30" s="3" t="s">
        <v>202</v>
      </c>
      <c r="C30" s="3" t="s">
        <v>203</v>
      </c>
      <c r="D30" s="3" t="s">
        <v>42</v>
      </c>
      <c r="E30" s="3" t="s">
        <v>204</v>
      </c>
      <c r="F30" s="3" t="s">
        <v>205</v>
      </c>
      <c r="G30" s="3" t="s">
        <v>25</v>
      </c>
      <c r="H30" s="4">
        <v>45607</v>
      </c>
      <c r="I30" s="3" t="s">
        <v>18</v>
      </c>
      <c r="J30" s="5" t="s">
        <v>57</v>
      </c>
      <c r="K30" s="4">
        <v>45685</v>
      </c>
      <c r="L30" s="4">
        <v>37976</v>
      </c>
      <c r="M30" s="3" t="s">
        <v>206</v>
      </c>
      <c r="N30" s="3" t="s">
        <v>206</v>
      </c>
      <c r="O30" s="6" t="s">
        <v>48</v>
      </c>
      <c r="P30" s="6" t="s">
        <v>133</v>
      </c>
      <c r="Q30" s="6">
        <v>4</v>
      </c>
      <c r="R30" s="6" t="s">
        <v>50</v>
      </c>
      <c r="S30" s="6" t="s">
        <v>51</v>
      </c>
    </row>
    <row r="31" spans="2:19" ht="12" x14ac:dyDescent="0.25">
      <c r="B31" s="3" t="s">
        <v>207</v>
      </c>
      <c r="C31" s="3" t="s">
        <v>208</v>
      </c>
      <c r="D31" s="3" t="s">
        <v>33</v>
      </c>
      <c r="E31" s="3" t="s">
        <v>209</v>
      </c>
      <c r="F31" s="3" t="s">
        <v>210</v>
      </c>
      <c r="G31" s="3" t="s">
        <v>17</v>
      </c>
      <c r="H31" s="4">
        <v>45629</v>
      </c>
      <c r="I31" s="3" t="s">
        <v>18</v>
      </c>
      <c r="J31" s="5" t="s">
        <v>45</v>
      </c>
      <c r="K31" s="4">
        <v>45664</v>
      </c>
      <c r="L31" s="4">
        <v>35558</v>
      </c>
      <c r="M31" s="3" t="s">
        <v>211</v>
      </c>
      <c r="N31" s="3" t="s">
        <v>212</v>
      </c>
      <c r="O31" s="6" t="s">
        <v>159</v>
      </c>
      <c r="P31" s="6" t="s">
        <v>30</v>
      </c>
      <c r="Q31" s="6" t="s">
        <v>30</v>
      </c>
      <c r="R31" s="6" t="s">
        <v>30</v>
      </c>
      <c r="S31" s="6" t="s">
        <v>30</v>
      </c>
    </row>
    <row r="32" spans="2:19" ht="12" x14ac:dyDescent="0.25">
      <c r="B32" s="3" t="s">
        <v>213</v>
      </c>
      <c r="C32" s="3" t="s">
        <v>214</v>
      </c>
      <c r="D32" s="3" t="s">
        <v>22</v>
      </c>
      <c r="E32" s="3" t="s">
        <v>215</v>
      </c>
      <c r="F32" s="3" t="s">
        <v>216</v>
      </c>
      <c r="G32" s="3" t="s">
        <v>25</v>
      </c>
      <c r="H32" s="4">
        <v>45618</v>
      </c>
      <c r="I32" s="3" t="s">
        <v>18</v>
      </c>
      <c r="J32" s="5" t="s">
        <v>36</v>
      </c>
      <c r="K32" s="4">
        <v>45661</v>
      </c>
      <c r="L32" s="4">
        <v>37408</v>
      </c>
      <c r="M32" s="3" t="s">
        <v>217</v>
      </c>
      <c r="N32" s="3" t="s">
        <v>218</v>
      </c>
      <c r="O32" s="6" t="s">
        <v>48</v>
      </c>
      <c r="P32" s="6" t="s">
        <v>556</v>
      </c>
      <c r="Q32" s="6">
        <v>3</v>
      </c>
      <c r="R32" s="6" t="s">
        <v>68</v>
      </c>
      <c r="S32" s="6" t="s">
        <v>30</v>
      </c>
    </row>
    <row r="33" spans="2:19" ht="12" x14ac:dyDescent="0.25">
      <c r="B33" s="3" t="s">
        <v>219</v>
      </c>
      <c r="C33" s="3" t="s">
        <v>220</v>
      </c>
      <c r="D33" s="3" t="s">
        <v>42</v>
      </c>
      <c r="E33" s="3" t="s">
        <v>221</v>
      </c>
      <c r="F33" s="3" t="s">
        <v>222</v>
      </c>
      <c r="G33" s="3" t="s">
        <v>17</v>
      </c>
      <c r="H33" s="4">
        <v>45602</v>
      </c>
      <c r="I33" s="3" t="s">
        <v>18</v>
      </c>
      <c r="J33" s="5" t="s">
        <v>36</v>
      </c>
      <c r="K33" s="4">
        <v>45668</v>
      </c>
      <c r="L33" s="4">
        <v>37605</v>
      </c>
      <c r="M33" s="3" t="s">
        <v>223</v>
      </c>
      <c r="N33" s="3" t="s">
        <v>218</v>
      </c>
      <c r="O33" s="6" t="s">
        <v>48</v>
      </c>
      <c r="P33" s="6" t="s">
        <v>133</v>
      </c>
      <c r="Q33" s="6">
        <v>4</v>
      </c>
      <c r="R33" s="6" t="s">
        <v>50</v>
      </c>
      <c r="S33" s="6" t="s">
        <v>61</v>
      </c>
    </row>
    <row r="34" spans="2:19" ht="12" x14ac:dyDescent="0.25">
      <c r="B34" s="3" t="s">
        <v>224</v>
      </c>
      <c r="C34" s="3" t="s">
        <v>225</v>
      </c>
      <c r="D34" s="3" t="s">
        <v>124</v>
      </c>
      <c r="E34" s="3" t="s">
        <v>226</v>
      </c>
      <c r="F34" s="3" t="s">
        <v>227</v>
      </c>
      <c r="G34" s="3" t="s">
        <v>25</v>
      </c>
      <c r="H34" s="4">
        <v>45638</v>
      </c>
      <c r="I34" s="3" t="s">
        <v>18</v>
      </c>
      <c r="J34" s="5" t="s">
        <v>57</v>
      </c>
      <c r="K34" s="4">
        <v>45662</v>
      </c>
      <c r="L34" s="4">
        <v>35339</v>
      </c>
      <c r="M34" s="3" t="s">
        <v>228</v>
      </c>
      <c r="N34" s="3" t="s">
        <v>228</v>
      </c>
      <c r="O34" s="6" t="s">
        <v>39</v>
      </c>
      <c r="P34" s="6" t="s">
        <v>30</v>
      </c>
      <c r="Q34" s="6" t="s">
        <v>30</v>
      </c>
      <c r="R34" s="6" t="s">
        <v>30</v>
      </c>
      <c r="S34" s="6" t="s">
        <v>30</v>
      </c>
    </row>
    <row r="35" spans="2:19" ht="12" x14ac:dyDescent="0.25">
      <c r="B35" s="3" t="s">
        <v>229</v>
      </c>
      <c r="C35" s="3" t="s">
        <v>230</v>
      </c>
      <c r="D35" s="3" t="s">
        <v>33</v>
      </c>
      <c r="E35" s="3" t="s">
        <v>231</v>
      </c>
      <c r="F35" s="3" t="s">
        <v>232</v>
      </c>
      <c r="G35" s="3" t="s">
        <v>17</v>
      </c>
      <c r="H35" s="4">
        <v>45622</v>
      </c>
      <c r="I35" s="3" t="s">
        <v>18</v>
      </c>
      <c r="J35" s="5" t="s">
        <v>26</v>
      </c>
      <c r="K35" s="4">
        <v>45662</v>
      </c>
      <c r="L35" s="4">
        <v>35698</v>
      </c>
      <c r="M35" s="3" t="s">
        <v>233</v>
      </c>
      <c r="N35" s="3" t="s">
        <v>234</v>
      </c>
      <c r="O35" s="6" t="s">
        <v>159</v>
      </c>
      <c r="P35" s="6" t="s">
        <v>30</v>
      </c>
      <c r="Q35" s="6" t="s">
        <v>30</v>
      </c>
      <c r="R35" s="6" t="s">
        <v>30</v>
      </c>
      <c r="S35" s="6" t="s">
        <v>30</v>
      </c>
    </row>
    <row r="36" spans="2:19" ht="12" x14ac:dyDescent="0.25">
      <c r="B36" s="3" t="s">
        <v>235</v>
      </c>
      <c r="C36" s="3" t="s">
        <v>236</v>
      </c>
      <c r="D36" s="3" t="s">
        <v>237</v>
      </c>
      <c r="E36" s="3" t="s">
        <v>238</v>
      </c>
      <c r="F36" s="3" t="s">
        <v>239</v>
      </c>
      <c r="G36" s="3" t="s">
        <v>17</v>
      </c>
      <c r="H36" s="4">
        <v>45642</v>
      </c>
      <c r="I36" s="3" t="s">
        <v>18</v>
      </c>
      <c r="J36" s="5" t="s">
        <v>26</v>
      </c>
      <c r="K36" s="4">
        <v>45661</v>
      </c>
      <c r="L36" s="4">
        <v>36025</v>
      </c>
      <c r="M36" s="3" t="s">
        <v>240</v>
      </c>
      <c r="N36" s="3" t="s">
        <v>88</v>
      </c>
      <c r="O36" s="6" t="s">
        <v>159</v>
      </c>
      <c r="P36" s="6" t="s">
        <v>30</v>
      </c>
      <c r="Q36" s="6" t="s">
        <v>30</v>
      </c>
      <c r="R36" s="6" t="s">
        <v>30</v>
      </c>
      <c r="S36" s="6" t="s">
        <v>30</v>
      </c>
    </row>
    <row r="37" spans="2:19" ht="12" x14ac:dyDescent="0.25">
      <c r="B37" s="3" t="s">
        <v>241</v>
      </c>
      <c r="C37" s="3" t="s">
        <v>242</v>
      </c>
      <c r="D37" s="3" t="s">
        <v>42</v>
      </c>
      <c r="E37" s="3" t="s">
        <v>243</v>
      </c>
      <c r="F37" s="3" t="s">
        <v>244</v>
      </c>
      <c r="G37" s="3" t="s">
        <v>17</v>
      </c>
      <c r="H37" s="4">
        <v>45632</v>
      </c>
      <c r="I37" s="3" t="s">
        <v>18</v>
      </c>
      <c r="J37" s="5" t="s">
        <v>57</v>
      </c>
      <c r="K37" s="4">
        <v>45674</v>
      </c>
      <c r="L37" s="4">
        <v>35918</v>
      </c>
      <c r="M37" s="3" t="s">
        <v>245</v>
      </c>
      <c r="N37" s="3" t="s">
        <v>246</v>
      </c>
      <c r="O37" s="6" t="s">
        <v>39</v>
      </c>
      <c r="P37" s="6" t="s">
        <v>30</v>
      </c>
      <c r="Q37" s="6" t="s">
        <v>30</v>
      </c>
      <c r="R37" s="6" t="s">
        <v>30</v>
      </c>
      <c r="S37" s="6" t="s">
        <v>30</v>
      </c>
    </row>
    <row r="38" spans="2:19" ht="12" x14ac:dyDescent="0.25">
      <c r="B38" s="3" t="s">
        <v>247</v>
      </c>
      <c r="C38" s="3" t="s">
        <v>248</v>
      </c>
      <c r="D38" s="3" t="s">
        <v>249</v>
      </c>
      <c r="E38" s="3" t="s">
        <v>250</v>
      </c>
      <c r="F38" s="3" t="s">
        <v>251</v>
      </c>
      <c r="G38" s="3" t="s">
        <v>17</v>
      </c>
      <c r="H38" s="4">
        <v>45642</v>
      </c>
      <c r="I38" s="3" t="s">
        <v>18</v>
      </c>
      <c r="J38" s="5" t="s">
        <v>36</v>
      </c>
      <c r="K38" s="4">
        <v>45688</v>
      </c>
      <c r="L38" s="4">
        <v>34905</v>
      </c>
      <c r="M38" s="3" t="s">
        <v>252</v>
      </c>
      <c r="N38" s="3" t="s">
        <v>253</v>
      </c>
      <c r="O38" s="6" t="s">
        <v>278</v>
      </c>
      <c r="P38" s="6" t="s">
        <v>96</v>
      </c>
      <c r="Q38" s="6">
        <v>3</v>
      </c>
      <c r="R38" s="6" t="s">
        <v>68</v>
      </c>
      <c r="S38" s="6" t="s">
        <v>30</v>
      </c>
    </row>
    <row r="39" spans="2:19" ht="12" x14ac:dyDescent="0.25">
      <c r="B39" s="3" t="s">
        <v>254</v>
      </c>
      <c r="C39" s="3" t="s">
        <v>255</v>
      </c>
      <c r="D39" s="3" t="s">
        <v>33</v>
      </c>
      <c r="E39" s="3" t="s">
        <v>256</v>
      </c>
      <c r="F39" s="3" t="s">
        <v>257</v>
      </c>
      <c r="G39" s="3" t="s">
        <v>17</v>
      </c>
      <c r="H39" s="4">
        <v>45642</v>
      </c>
      <c r="I39" s="3" t="s">
        <v>18</v>
      </c>
      <c r="J39" s="5" t="s">
        <v>26</v>
      </c>
      <c r="K39" s="4">
        <v>45684</v>
      </c>
      <c r="L39" s="4">
        <v>37092</v>
      </c>
      <c r="M39" s="3" t="s">
        <v>258</v>
      </c>
      <c r="N39" s="3" t="s">
        <v>259</v>
      </c>
      <c r="O39" s="6" t="s">
        <v>48</v>
      </c>
      <c r="P39" s="6" t="s">
        <v>49</v>
      </c>
      <c r="Q39" s="6">
        <v>4</v>
      </c>
      <c r="R39" s="6" t="s">
        <v>76</v>
      </c>
      <c r="S39" s="6" t="s">
        <v>51</v>
      </c>
    </row>
    <row r="40" spans="2:19" ht="12" x14ac:dyDescent="0.25">
      <c r="B40" s="3" t="s">
        <v>260</v>
      </c>
      <c r="C40" s="3" t="s">
        <v>261</v>
      </c>
      <c r="D40" s="3" t="s">
        <v>84</v>
      </c>
      <c r="E40" s="3" t="s">
        <v>262</v>
      </c>
      <c r="F40" s="3" t="s">
        <v>263</v>
      </c>
      <c r="G40" s="3" t="s">
        <v>17</v>
      </c>
      <c r="H40" s="4">
        <v>45633</v>
      </c>
      <c r="I40" s="3" t="s">
        <v>18</v>
      </c>
      <c r="J40" s="5" t="s">
        <v>26</v>
      </c>
      <c r="K40" s="4">
        <v>45664</v>
      </c>
      <c r="L40" s="4">
        <v>38183</v>
      </c>
      <c r="M40" s="3" t="s">
        <v>264</v>
      </c>
      <c r="N40" s="3" t="s">
        <v>265</v>
      </c>
      <c r="O40" s="6" t="s">
        <v>48</v>
      </c>
      <c r="P40" s="6" t="s">
        <v>556</v>
      </c>
      <c r="Q40" s="6">
        <v>3</v>
      </c>
      <c r="R40" s="6" t="s">
        <v>76</v>
      </c>
      <c r="S40" s="6" t="s">
        <v>51</v>
      </c>
    </row>
    <row r="41" spans="2:19" ht="12" x14ac:dyDescent="0.25">
      <c r="B41" s="3" t="s">
        <v>266</v>
      </c>
      <c r="C41" s="3" t="s">
        <v>267</v>
      </c>
      <c r="D41" s="3" t="s">
        <v>186</v>
      </c>
      <c r="E41" s="3" t="s">
        <v>268</v>
      </c>
      <c r="F41" s="3" t="s">
        <v>269</v>
      </c>
      <c r="G41" s="3" t="s">
        <v>17</v>
      </c>
      <c r="H41" s="4">
        <v>45666</v>
      </c>
      <c r="I41" s="3" t="s">
        <v>18</v>
      </c>
      <c r="J41" s="5" t="s">
        <v>93</v>
      </c>
      <c r="K41" s="4">
        <v>45677</v>
      </c>
      <c r="L41" s="4">
        <v>36956</v>
      </c>
      <c r="M41" s="3" t="s">
        <v>270</v>
      </c>
      <c r="N41" s="3" t="s">
        <v>271</v>
      </c>
      <c r="O41" s="6" t="s">
        <v>159</v>
      </c>
      <c r="P41" s="6" t="s">
        <v>30</v>
      </c>
      <c r="Q41" s="6" t="s">
        <v>30</v>
      </c>
      <c r="R41" s="6" t="s">
        <v>30</v>
      </c>
      <c r="S41" s="6" t="s">
        <v>30</v>
      </c>
    </row>
    <row r="42" spans="2:19" ht="12" x14ac:dyDescent="0.25">
      <c r="B42" s="3" t="s">
        <v>272</v>
      </c>
      <c r="C42" s="3" t="s">
        <v>208</v>
      </c>
      <c r="D42" s="3" t="s">
        <v>273</v>
      </c>
      <c r="E42" s="3" t="s">
        <v>274</v>
      </c>
      <c r="F42" s="3" t="s">
        <v>275</v>
      </c>
      <c r="G42" s="3" t="s">
        <v>17</v>
      </c>
      <c r="H42" s="4">
        <v>45666</v>
      </c>
      <c r="I42" s="3" t="s">
        <v>18</v>
      </c>
      <c r="J42" s="5" t="s">
        <v>93</v>
      </c>
      <c r="K42" s="4">
        <v>45688</v>
      </c>
      <c r="L42" s="4">
        <v>36521</v>
      </c>
      <c r="M42" s="3" t="s">
        <v>276</v>
      </c>
      <c r="N42" s="3" t="s">
        <v>277</v>
      </c>
      <c r="O42" s="6" t="s">
        <v>278</v>
      </c>
      <c r="P42" s="6" t="s">
        <v>556</v>
      </c>
      <c r="Q42" s="6">
        <v>2</v>
      </c>
      <c r="R42" s="6" t="s">
        <v>68</v>
      </c>
      <c r="S42" s="6" t="s">
        <v>30</v>
      </c>
    </row>
    <row r="43" spans="2:19" ht="12" x14ac:dyDescent="0.25">
      <c r="B43" s="3" t="s">
        <v>279</v>
      </c>
      <c r="C43" s="3" t="s">
        <v>280</v>
      </c>
      <c r="D43" s="3" t="s">
        <v>281</v>
      </c>
      <c r="E43" s="3" t="s">
        <v>282</v>
      </c>
      <c r="F43" s="3" t="s">
        <v>283</v>
      </c>
      <c r="G43" s="3" t="s">
        <v>17</v>
      </c>
      <c r="H43" s="4">
        <v>45676</v>
      </c>
      <c r="I43" s="3" t="s">
        <v>18</v>
      </c>
      <c r="J43" s="5" t="s">
        <v>36</v>
      </c>
      <c r="K43" s="4">
        <v>45684</v>
      </c>
      <c r="L43" s="4">
        <v>34909</v>
      </c>
      <c r="M43" s="3" t="s">
        <v>284</v>
      </c>
      <c r="N43" s="3" t="s">
        <v>285</v>
      </c>
      <c r="O43" s="6" t="s">
        <v>48</v>
      </c>
      <c r="P43" s="6" t="s">
        <v>49</v>
      </c>
      <c r="Q43" s="6">
        <v>3</v>
      </c>
      <c r="R43" s="6" t="s">
        <v>68</v>
      </c>
      <c r="S43" s="6" t="s">
        <v>30</v>
      </c>
    </row>
    <row r="44" spans="2:19" ht="12" x14ac:dyDescent="0.25">
      <c r="B44" s="3" t="s">
        <v>286</v>
      </c>
      <c r="C44" s="3" t="s">
        <v>287</v>
      </c>
      <c r="D44" s="3" t="s">
        <v>33</v>
      </c>
      <c r="E44" s="3" t="s">
        <v>288</v>
      </c>
      <c r="F44" s="3" t="s">
        <v>289</v>
      </c>
      <c r="G44" s="3" t="s">
        <v>17</v>
      </c>
      <c r="H44" s="4">
        <v>45604</v>
      </c>
      <c r="I44" s="3" t="s">
        <v>18</v>
      </c>
      <c r="J44" s="5" t="s">
        <v>45</v>
      </c>
      <c r="K44" s="4">
        <v>45664</v>
      </c>
      <c r="L44" s="4">
        <v>34690</v>
      </c>
      <c r="M44" s="3" t="s">
        <v>290</v>
      </c>
      <c r="N44" s="3" t="s">
        <v>290</v>
      </c>
      <c r="O44" s="6" t="s">
        <v>39</v>
      </c>
      <c r="P44" s="6" t="s">
        <v>30</v>
      </c>
      <c r="Q44" s="6" t="s">
        <v>30</v>
      </c>
      <c r="R44" s="6" t="s">
        <v>30</v>
      </c>
      <c r="S44" s="6" t="s">
        <v>30</v>
      </c>
    </row>
    <row r="45" spans="2:19" ht="12" x14ac:dyDescent="0.25">
      <c r="B45" s="3" t="s">
        <v>291</v>
      </c>
      <c r="C45" s="3" t="s">
        <v>292</v>
      </c>
      <c r="D45" s="3" t="s">
        <v>293</v>
      </c>
      <c r="E45" s="3" t="s">
        <v>294</v>
      </c>
      <c r="F45" s="3" t="s">
        <v>295</v>
      </c>
      <c r="G45" s="3" t="s">
        <v>25</v>
      </c>
      <c r="H45" s="4">
        <v>45672</v>
      </c>
      <c r="I45" s="3" t="s">
        <v>18</v>
      </c>
      <c r="J45" s="5" t="s">
        <v>36</v>
      </c>
      <c r="K45" s="4">
        <v>45682</v>
      </c>
      <c r="L45" s="4">
        <v>39066</v>
      </c>
      <c r="M45" s="3" t="s">
        <v>296</v>
      </c>
      <c r="N45" s="3" t="s">
        <v>297</v>
      </c>
      <c r="O45" s="6" t="s">
        <v>298</v>
      </c>
      <c r="P45" s="6" t="s">
        <v>49</v>
      </c>
      <c r="Q45" s="6" t="s">
        <v>30</v>
      </c>
      <c r="R45" s="6" t="s">
        <v>68</v>
      </c>
      <c r="S45" s="6" t="s">
        <v>30</v>
      </c>
    </row>
    <row r="50" spans="10:10" x14ac:dyDescent="0.25">
      <c r="J50" s="1" t="s">
        <v>796</v>
      </c>
    </row>
  </sheetData>
  <autoFilter ref="B3:S3" xr:uid="{FFB9E713-2889-45C5-9262-623E66AE5033}"/>
  <dataValidations count="11">
    <dataValidation type="textLength" operator="lessThanOrEqual" allowBlank="1" showInputMessage="1" showErrorMessage="1" errorTitle="Invalid Column Value" error="Last Name must be 25 characters or less." prompt="Last Name Maximum Length is 25" sqref="D4:D45" xr:uid="{D736A57D-6995-4DDB-B005-379D8D05777F}">
      <formula1>25</formula1>
    </dataValidation>
    <dataValidation type="textLength" operator="lessThanOrEqual" allowBlank="1" showInputMessage="1" showErrorMessage="1" errorTitle="Invalid Column Value" error="Employee Code must be 20 characters or less." prompt="Employee Code Maximum Length is 20" sqref="B4:B45" xr:uid="{964C0361-0750-46DD-804D-E82B614C44A6}">
      <formula1>20</formula1>
    </dataValidation>
    <dataValidation type="textLength" operator="lessThanOrEqual" allowBlank="1" showInputMessage="1" showErrorMessage="1" errorTitle="Invalid Column Value" error="First Name must be 25 characters or less." prompt="First Name Maximum Length is 25" sqref="C4:D45" xr:uid="{DC53F69F-0A3C-43FA-859A-B035DFB18A71}">
      <formula1>25</formula1>
    </dataValidation>
    <dataValidation type="textLength" operator="lessThanOrEqual" allowBlank="1" showInputMessage="1" showErrorMessage="1" errorTitle="Invalid Column Value" error="Fathers Name must be 25 characters or less." prompt="Fathers Name Maximum Length is 25" sqref="E4:F45" xr:uid="{C3181C91-8B56-4BA5-AC9D-20296EF6719C}">
      <formula1>25</formula1>
    </dataValidation>
    <dataValidation type="list" allowBlank="1" showInputMessage="1" showErrorMessage="1" errorTitle="Invalid Column Value" error="Please select a valid option" promptTitle="Select option from List" prompt="M_x000a_F_x000a_T_x000a_" sqref="G4:G45" xr:uid="{65F11232-2EE5-4DC6-B3AD-EBA794E6E036}">
      <formula1>Gender</formula1>
    </dataValidation>
    <dataValidation type="date" allowBlank="1" showInputMessage="1" showErrorMessage="1" errorTitle="Invalid Column Value" error="Joining Date Date must be between 01-Jan-1900 And 20-May-2025" prompt="Joining Date Date between 01-Jan-1900 And 20-May-2025" sqref="H4:H45" xr:uid="{8CC2FB73-B3C3-4DC3-945A-1EE85C5603E2}">
      <formula1>1</formula1>
      <formula2>45797</formula2>
    </dataValidation>
    <dataValidation type="textLength" allowBlank="1" showInputMessage="1" showErrorMessage="1" errorTitle="Invalid Column Value" error="Mobile No length must be  between 10 and 10" prompt="Mobile No Length between 10 And 10" sqref="F4:F45" xr:uid="{53E0B69A-FD44-4E55-814E-14F24A3B22CE}">
      <formula1>10</formula1>
      <formula2>10</formula2>
    </dataValidation>
    <dataValidation type="date" allowBlank="1" showInputMessage="1" showErrorMessage="1" errorTitle="Invalid Column Value" error="Termination Date Date must be between 01-Jan-2000 And 01-Jan-2050" prompt="Termination Date Date between 01-Jan-2000 And 01-Jan-2050" sqref="K4:K45" xr:uid="{325648F9-78A7-4E8B-A244-95DCA227B4DF}">
      <formula1>36526</formula1>
      <formula2>54789</formula2>
    </dataValidation>
    <dataValidation type="date" allowBlank="1" showInputMessage="1" showErrorMessage="1" errorTitle="Invalid Column Value" error="Birthday Date must be between 01-Jan-1900 And 20-May-2010" prompt="Birthday Date between 01-Jan-1900 And 20-May-2010" sqref="L4:L45" xr:uid="{4CFA7778-AEA3-41B5-909B-92C500FC7A50}">
      <formula1>1</formula1>
      <formula2>40318</formula2>
    </dataValidation>
    <dataValidation type="textLength" operator="lessThanOrEqual" allowBlank="1" showInputMessage="1" showErrorMessage="1" errorTitle="Invalid Column Value" error="Address Line1 must be 150 characters or less." prompt="Address Line1 Maximum Length is 150" sqref="M4:M45" xr:uid="{D8F434A7-8F78-4E0D-B76C-FBEFE60704E6}">
      <formula1>150</formula1>
    </dataValidation>
    <dataValidation type="textLength" operator="lessThanOrEqual" allowBlank="1" showInputMessage="1" showErrorMessage="1" errorTitle="Invalid Column Value" error="City Name must be 30 characters or less." prompt="City Name Maximum Length is 30" sqref="N4:N45" xr:uid="{A85D6741-9355-4452-A8C2-417D67EA111D}">
      <formula1>30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8286-6053-4A88-8428-690913DB72FF}">
  <dimension ref="B2:S54"/>
  <sheetViews>
    <sheetView topLeftCell="F45" zoomScaleNormal="100" workbookViewId="0">
      <selection activeCell="K54" sqref="K54"/>
    </sheetView>
  </sheetViews>
  <sheetFormatPr defaultColWidth="9.1796875" defaultRowHeight="11.5" x14ac:dyDescent="0.25"/>
  <cols>
    <col min="1" max="1" width="2" style="1" customWidth="1"/>
    <col min="2" max="2" width="17.08984375" style="1" customWidth="1"/>
    <col min="3" max="3" width="13.453125" style="1" bestFit="1" customWidth="1"/>
    <col min="4" max="4" width="13.1796875" style="1" bestFit="1" customWidth="1"/>
    <col min="5" max="5" width="19.54296875" style="1" bestFit="1" customWidth="1"/>
    <col min="6" max="6" width="13.7265625" style="1" bestFit="1" customWidth="1"/>
    <col min="7" max="7" width="10.7265625" style="1" bestFit="1" customWidth="1"/>
    <col min="8" max="8" width="14.26953125" style="1" bestFit="1" customWidth="1"/>
    <col min="9" max="9" width="16.6328125" style="1" bestFit="1" customWidth="1"/>
    <col min="10" max="10" width="22.7265625" style="1" bestFit="1" customWidth="1"/>
    <col min="11" max="11" width="19.36328125" style="1" bestFit="1" customWidth="1"/>
    <col min="12" max="12" width="12.08984375" style="1" bestFit="1" customWidth="1"/>
    <col min="13" max="13" width="36.81640625" style="1" customWidth="1"/>
    <col min="14" max="14" width="29.453125" style="1" bestFit="1" customWidth="1"/>
    <col min="15" max="15" width="35.54296875" style="1" bestFit="1" customWidth="1"/>
    <col min="16" max="16" width="20.54296875" style="1" bestFit="1" customWidth="1"/>
    <col min="17" max="17" width="19.08984375" style="1" bestFit="1" customWidth="1"/>
    <col min="18" max="18" width="21.36328125" style="1" bestFit="1" customWidth="1"/>
    <col min="19" max="19" width="20.453125" style="1" bestFit="1" customWidth="1"/>
    <col min="20" max="16384" width="9.1796875" style="1"/>
  </cols>
  <sheetData>
    <row r="2" spans="2:19" ht="14" x14ac:dyDescent="0.3">
      <c r="B2" s="9">
        <v>45689</v>
      </c>
    </row>
    <row r="3" spans="2:19" ht="13" x14ac:dyDescent="0.2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790</v>
      </c>
      <c r="R3" s="2" t="s">
        <v>15</v>
      </c>
      <c r="S3" s="2" t="s">
        <v>16</v>
      </c>
    </row>
    <row r="4" spans="2:19" ht="12" x14ac:dyDescent="0.25">
      <c r="B4" s="3" t="s">
        <v>299</v>
      </c>
      <c r="C4" s="3" t="s">
        <v>300</v>
      </c>
      <c r="D4" s="3" t="s">
        <v>33</v>
      </c>
      <c r="E4" s="3" t="s">
        <v>301</v>
      </c>
      <c r="F4" s="3" t="s">
        <v>302</v>
      </c>
      <c r="G4" s="3" t="s">
        <v>17</v>
      </c>
      <c r="H4" s="4">
        <v>45446</v>
      </c>
      <c r="I4" s="3" t="s">
        <v>18</v>
      </c>
      <c r="J4" s="5" t="s">
        <v>93</v>
      </c>
      <c r="K4" s="4">
        <v>45694</v>
      </c>
      <c r="L4" s="4">
        <v>37257</v>
      </c>
      <c r="M4" s="3" t="s">
        <v>303</v>
      </c>
      <c r="N4" s="3" t="s">
        <v>88</v>
      </c>
      <c r="O4" s="6" t="s">
        <v>48</v>
      </c>
      <c r="P4" s="6" t="s">
        <v>49</v>
      </c>
      <c r="Q4" s="6">
        <v>4</v>
      </c>
      <c r="R4" s="6" t="s">
        <v>50</v>
      </c>
      <c r="S4" s="6" t="s">
        <v>51</v>
      </c>
    </row>
    <row r="5" spans="2:19" ht="12" x14ac:dyDescent="0.25">
      <c r="B5" s="3" t="s">
        <v>304</v>
      </c>
      <c r="C5" s="3" t="s">
        <v>305</v>
      </c>
      <c r="D5" s="3" t="s">
        <v>33</v>
      </c>
      <c r="E5" s="3" t="s">
        <v>306</v>
      </c>
      <c r="F5" s="3" t="s">
        <v>307</v>
      </c>
      <c r="G5" s="3" t="s">
        <v>17</v>
      </c>
      <c r="H5" s="4">
        <v>45436</v>
      </c>
      <c r="I5" s="3" t="s">
        <v>18</v>
      </c>
      <c r="J5" s="5" t="s">
        <v>26</v>
      </c>
      <c r="K5" s="4">
        <v>45715</v>
      </c>
      <c r="L5" s="4">
        <v>38484</v>
      </c>
      <c r="M5" s="3" t="s">
        <v>308</v>
      </c>
      <c r="N5" s="3" t="s">
        <v>309</v>
      </c>
      <c r="O5" s="6" t="s">
        <v>48</v>
      </c>
      <c r="P5" s="6" t="s">
        <v>60</v>
      </c>
      <c r="Q5" s="6">
        <v>5</v>
      </c>
      <c r="R5" s="6" t="s">
        <v>50</v>
      </c>
      <c r="S5" s="6" t="s">
        <v>51</v>
      </c>
    </row>
    <row r="6" spans="2:19" ht="12" x14ac:dyDescent="0.25">
      <c r="B6" s="3" t="s">
        <v>310</v>
      </c>
      <c r="C6" s="3" t="s">
        <v>311</v>
      </c>
      <c r="D6" s="3" t="s">
        <v>42</v>
      </c>
      <c r="E6" s="3" t="s">
        <v>312</v>
      </c>
      <c r="F6" s="3" t="s">
        <v>313</v>
      </c>
      <c r="G6" s="3" t="s">
        <v>25</v>
      </c>
      <c r="H6" s="4">
        <v>45007</v>
      </c>
      <c r="I6" s="3" t="s">
        <v>18</v>
      </c>
      <c r="J6" s="5" t="s">
        <v>93</v>
      </c>
      <c r="K6" s="4">
        <v>45706</v>
      </c>
      <c r="L6" s="4">
        <v>35796</v>
      </c>
      <c r="M6" s="3" t="s">
        <v>314</v>
      </c>
      <c r="N6" s="3" t="s">
        <v>315</v>
      </c>
      <c r="O6" s="6" t="s">
        <v>29</v>
      </c>
      <c r="P6" s="6" t="s">
        <v>30</v>
      </c>
      <c r="Q6" s="6" t="s">
        <v>30</v>
      </c>
      <c r="R6" s="6" t="s">
        <v>30</v>
      </c>
      <c r="S6" s="6" t="s">
        <v>30</v>
      </c>
    </row>
    <row r="7" spans="2:19" ht="12" x14ac:dyDescent="0.25">
      <c r="B7" s="3" t="s">
        <v>316</v>
      </c>
      <c r="C7" s="3" t="s">
        <v>317</v>
      </c>
      <c r="D7" s="3" t="s">
        <v>318</v>
      </c>
      <c r="E7" s="3" t="s">
        <v>319</v>
      </c>
      <c r="F7" s="3" t="s">
        <v>320</v>
      </c>
      <c r="G7" s="3" t="s">
        <v>25</v>
      </c>
      <c r="H7" s="4">
        <v>45050</v>
      </c>
      <c r="I7" s="3" t="s">
        <v>18</v>
      </c>
      <c r="J7" s="5" t="s">
        <v>45</v>
      </c>
      <c r="K7" s="4">
        <v>45697</v>
      </c>
      <c r="L7" s="4">
        <v>35874</v>
      </c>
      <c r="M7" s="3" t="s">
        <v>321</v>
      </c>
      <c r="N7" s="3" t="s">
        <v>322</v>
      </c>
      <c r="O7" s="6" t="s">
        <v>48</v>
      </c>
      <c r="P7" s="6" t="s">
        <v>115</v>
      </c>
      <c r="Q7" s="6">
        <v>5</v>
      </c>
      <c r="R7" s="6" t="s">
        <v>68</v>
      </c>
      <c r="S7" s="6" t="s">
        <v>30</v>
      </c>
    </row>
    <row r="8" spans="2:19" ht="12" x14ac:dyDescent="0.25">
      <c r="B8" s="3" t="s">
        <v>323</v>
      </c>
      <c r="C8" s="3" t="s">
        <v>324</v>
      </c>
      <c r="D8" s="3" t="s">
        <v>325</v>
      </c>
      <c r="E8" s="3" t="s">
        <v>326</v>
      </c>
      <c r="F8" s="3" t="s">
        <v>327</v>
      </c>
      <c r="G8" s="3" t="s">
        <v>17</v>
      </c>
      <c r="H8" s="4">
        <v>44866</v>
      </c>
      <c r="I8" s="3" t="s">
        <v>18</v>
      </c>
      <c r="J8" s="5" t="s">
        <v>26</v>
      </c>
      <c r="K8" s="4">
        <v>45710</v>
      </c>
      <c r="L8" s="4">
        <v>36384</v>
      </c>
      <c r="M8" s="3" t="s">
        <v>19</v>
      </c>
      <c r="N8" s="3" t="s">
        <v>19</v>
      </c>
      <c r="O8" s="6" t="s">
        <v>159</v>
      </c>
      <c r="P8" s="6" t="s">
        <v>30</v>
      </c>
      <c r="Q8" s="6" t="s">
        <v>30</v>
      </c>
      <c r="R8" s="6" t="s">
        <v>30</v>
      </c>
      <c r="S8" s="6" t="s">
        <v>30</v>
      </c>
    </row>
    <row r="9" spans="2:19" ht="12" x14ac:dyDescent="0.25">
      <c r="B9" s="3" t="s">
        <v>328</v>
      </c>
      <c r="C9" s="3" t="s">
        <v>329</v>
      </c>
      <c r="D9" s="3" t="s">
        <v>124</v>
      </c>
      <c r="E9" s="3" t="s">
        <v>330</v>
      </c>
      <c r="F9" s="3" t="s">
        <v>331</v>
      </c>
      <c r="G9" s="3" t="s">
        <v>25</v>
      </c>
      <c r="H9" s="4">
        <v>45434</v>
      </c>
      <c r="I9" s="3" t="s">
        <v>18</v>
      </c>
      <c r="J9" s="5" t="s">
        <v>26</v>
      </c>
      <c r="K9" s="4">
        <v>45713</v>
      </c>
      <c r="L9" s="4">
        <v>37678</v>
      </c>
      <c r="M9" s="3" t="s">
        <v>332</v>
      </c>
      <c r="N9" s="3" t="s">
        <v>88</v>
      </c>
      <c r="O9" s="6" t="s">
        <v>159</v>
      </c>
      <c r="P9" s="6" t="s">
        <v>30</v>
      </c>
      <c r="Q9" s="6" t="s">
        <v>30</v>
      </c>
      <c r="R9" s="6" t="s">
        <v>30</v>
      </c>
      <c r="S9" s="6" t="s">
        <v>30</v>
      </c>
    </row>
    <row r="10" spans="2:19" ht="12" x14ac:dyDescent="0.25">
      <c r="B10" s="3" t="s">
        <v>333</v>
      </c>
      <c r="C10" s="3" t="s">
        <v>197</v>
      </c>
      <c r="D10" s="3" t="s">
        <v>33</v>
      </c>
      <c r="E10" s="3" t="s">
        <v>334</v>
      </c>
      <c r="F10" s="3" t="s">
        <v>335</v>
      </c>
      <c r="G10" s="3" t="s">
        <v>17</v>
      </c>
      <c r="H10" s="4">
        <v>45414</v>
      </c>
      <c r="I10" s="3" t="s">
        <v>18</v>
      </c>
      <c r="J10" s="5" t="s">
        <v>93</v>
      </c>
      <c r="K10" s="4">
        <v>45695</v>
      </c>
      <c r="L10" s="4">
        <v>37967</v>
      </c>
      <c r="M10" s="3" t="s">
        <v>336</v>
      </c>
      <c r="N10" s="3" t="s">
        <v>337</v>
      </c>
      <c r="O10" s="6" t="s">
        <v>29</v>
      </c>
      <c r="P10" s="6" t="s">
        <v>30</v>
      </c>
      <c r="Q10" s="6" t="s">
        <v>30</v>
      </c>
      <c r="R10" s="6" t="s">
        <v>30</v>
      </c>
      <c r="S10" s="6" t="s">
        <v>30</v>
      </c>
    </row>
    <row r="11" spans="2:19" ht="12" x14ac:dyDescent="0.25">
      <c r="B11" s="3" t="s">
        <v>338</v>
      </c>
      <c r="C11" s="3" t="s">
        <v>248</v>
      </c>
      <c r="D11" s="3" t="s">
        <v>339</v>
      </c>
      <c r="E11" s="3" t="s">
        <v>340</v>
      </c>
      <c r="F11" s="3" t="s">
        <v>341</v>
      </c>
      <c r="G11" s="3" t="s">
        <v>17</v>
      </c>
      <c r="H11" s="4">
        <v>45602</v>
      </c>
      <c r="I11" s="3" t="s">
        <v>18</v>
      </c>
      <c r="J11" s="5" t="s">
        <v>36</v>
      </c>
      <c r="K11" s="4">
        <v>45692</v>
      </c>
      <c r="L11" s="4">
        <v>36983</v>
      </c>
      <c r="M11" s="3" t="s">
        <v>342</v>
      </c>
      <c r="N11" s="3" t="s">
        <v>108</v>
      </c>
      <c r="O11" s="6" t="s">
        <v>29</v>
      </c>
      <c r="P11" s="6" t="s">
        <v>30</v>
      </c>
      <c r="Q11" s="6" t="s">
        <v>30</v>
      </c>
      <c r="R11" s="6" t="s">
        <v>30</v>
      </c>
      <c r="S11" s="6" t="s">
        <v>30</v>
      </c>
    </row>
    <row r="12" spans="2:19" ht="12" x14ac:dyDescent="0.25">
      <c r="B12" s="3" t="s">
        <v>343</v>
      </c>
      <c r="C12" s="3" t="s">
        <v>130</v>
      </c>
      <c r="D12" s="3" t="s">
        <v>42</v>
      </c>
      <c r="E12" s="3" t="s">
        <v>344</v>
      </c>
      <c r="F12" s="3" t="s">
        <v>345</v>
      </c>
      <c r="G12" s="3" t="s">
        <v>25</v>
      </c>
      <c r="H12" s="4">
        <v>45600</v>
      </c>
      <c r="I12" s="3" t="s">
        <v>18</v>
      </c>
      <c r="J12" s="5" t="s">
        <v>57</v>
      </c>
      <c r="K12" s="4">
        <v>45692</v>
      </c>
      <c r="L12" s="4">
        <v>38939</v>
      </c>
      <c r="M12" s="3" t="s">
        <v>346</v>
      </c>
      <c r="N12" s="3" t="s">
        <v>201</v>
      </c>
      <c r="O12" s="6" t="s">
        <v>159</v>
      </c>
      <c r="P12" s="6" t="s">
        <v>30</v>
      </c>
      <c r="Q12" s="6" t="s">
        <v>30</v>
      </c>
      <c r="R12" s="6" t="s">
        <v>30</v>
      </c>
      <c r="S12" s="6" t="s">
        <v>30</v>
      </c>
    </row>
    <row r="13" spans="2:19" ht="12" x14ac:dyDescent="0.25">
      <c r="B13" s="3" t="s">
        <v>347</v>
      </c>
      <c r="C13" s="3" t="s">
        <v>130</v>
      </c>
      <c r="D13" s="3" t="s">
        <v>348</v>
      </c>
      <c r="E13" s="3" t="s">
        <v>349</v>
      </c>
      <c r="F13" s="3" t="s">
        <v>350</v>
      </c>
      <c r="G13" s="3" t="s">
        <v>25</v>
      </c>
      <c r="H13" s="4">
        <v>45604</v>
      </c>
      <c r="I13" s="3" t="s">
        <v>18</v>
      </c>
      <c r="J13" s="5" t="s">
        <v>93</v>
      </c>
      <c r="K13" s="4">
        <v>45715</v>
      </c>
      <c r="L13" s="4">
        <v>38207</v>
      </c>
      <c r="M13" s="3" t="s">
        <v>351</v>
      </c>
      <c r="N13" s="3" t="s">
        <v>139</v>
      </c>
      <c r="O13" s="6" t="s">
        <v>48</v>
      </c>
      <c r="P13" s="6" t="s">
        <v>352</v>
      </c>
      <c r="Q13" s="6">
        <v>5</v>
      </c>
      <c r="R13" s="6" t="s">
        <v>50</v>
      </c>
      <c r="S13" s="6" t="s">
        <v>51</v>
      </c>
    </row>
    <row r="14" spans="2:19" ht="12" x14ac:dyDescent="0.25">
      <c r="B14" s="3" t="s">
        <v>353</v>
      </c>
      <c r="C14" s="3" t="s">
        <v>354</v>
      </c>
      <c r="D14" s="3" t="s">
        <v>42</v>
      </c>
      <c r="E14" s="3" t="s">
        <v>355</v>
      </c>
      <c r="F14" s="3" t="s">
        <v>356</v>
      </c>
      <c r="G14" s="3" t="s">
        <v>17</v>
      </c>
      <c r="H14" s="4">
        <v>45609</v>
      </c>
      <c r="I14" s="3" t="s">
        <v>18</v>
      </c>
      <c r="J14" s="5" t="s">
        <v>93</v>
      </c>
      <c r="K14" s="4">
        <v>45702</v>
      </c>
      <c r="L14" s="4">
        <v>36636</v>
      </c>
      <c r="M14" s="3" t="s">
        <v>357</v>
      </c>
      <c r="N14" s="3" t="s">
        <v>357</v>
      </c>
      <c r="O14" s="6" t="s">
        <v>48</v>
      </c>
      <c r="P14" s="6" t="s">
        <v>115</v>
      </c>
      <c r="Q14" s="6">
        <v>5</v>
      </c>
      <c r="R14" s="6" t="s">
        <v>50</v>
      </c>
      <c r="S14" s="6" t="s">
        <v>61</v>
      </c>
    </row>
    <row r="15" spans="2:19" ht="12" x14ac:dyDescent="0.25">
      <c r="B15" s="3" t="s">
        <v>358</v>
      </c>
      <c r="C15" s="3" t="s">
        <v>359</v>
      </c>
      <c r="D15" s="3" t="s">
        <v>360</v>
      </c>
      <c r="E15" s="3" t="s">
        <v>361</v>
      </c>
      <c r="F15" s="3" t="s">
        <v>362</v>
      </c>
      <c r="G15" s="3" t="s">
        <v>17</v>
      </c>
      <c r="H15" s="4">
        <v>45299</v>
      </c>
      <c r="I15" s="3" t="s">
        <v>18</v>
      </c>
      <c r="J15" s="5" t="s">
        <v>93</v>
      </c>
      <c r="K15" s="4">
        <v>45702</v>
      </c>
      <c r="L15" s="4">
        <v>37087</v>
      </c>
      <c r="M15" s="3" t="s">
        <v>363</v>
      </c>
      <c r="N15" s="3" t="s">
        <v>364</v>
      </c>
      <c r="O15" s="6" t="s">
        <v>278</v>
      </c>
      <c r="P15" s="6" t="s">
        <v>96</v>
      </c>
      <c r="Q15" s="6">
        <v>3</v>
      </c>
      <c r="R15" s="6" t="s">
        <v>68</v>
      </c>
      <c r="S15" s="6" t="s">
        <v>30</v>
      </c>
    </row>
    <row r="16" spans="2:19" ht="12" x14ac:dyDescent="0.25">
      <c r="B16" s="3" t="s">
        <v>365</v>
      </c>
      <c r="C16" s="3" t="s">
        <v>366</v>
      </c>
      <c r="D16" s="3" t="s">
        <v>42</v>
      </c>
      <c r="E16" s="3" t="s">
        <v>367</v>
      </c>
      <c r="F16" s="3" t="s">
        <v>368</v>
      </c>
      <c r="G16" s="3" t="s">
        <v>17</v>
      </c>
      <c r="H16" s="4">
        <v>45603</v>
      </c>
      <c r="I16" s="3" t="s">
        <v>18</v>
      </c>
      <c r="J16" s="5" t="s">
        <v>36</v>
      </c>
      <c r="K16" s="4">
        <v>45716</v>
      </c>
      <c r="L16" s="4">
        <v>38727</v>
      </c>
      <c r="M16" s="3" t="s">
        <v>253</v>
      </c>
      <c r="N16" s="3" t="s">
        <v>253</v>
      </c>
      <c r="O16" s="6" t="s">
        <v>399</v>
      </c>
      <c r="P16" s="6" t="s">
        <v>49</v>
      </c>
      <c r="Q16" s="6">
        <v>4</v>
      </c>
      <c r="R16" s="6" t="s">
        <v>50</v>
      </c>
      <c r="S16" s="6" t="s">
        <v>153</v>
      </c>
    </row>
    <row r="17" spans="2:19" ht="12" x14ac:dyDescent="0.25">
      <c r="B17" s="3" t="s">
        <v>369</v>
      </c>
      <c r="C17" s="3" t="s">
        <v>370</v>
      </c>
      <c r="D17" s="3" t="s">
        <v>124</v>
      </c>
      <c r="E17" s="3" t="s">
        <v>371</v>
      </c>
      <c r="F17" s="3" t="s">
        <v>372</v>
      </c>
      <c r="G17" s="3" t="s">
        <v>25</v>
      </c>
      <c r="H17" s="4">
        <v>45355</v>
      </c>
      <c r="I17" s="3" t="s">
        <v>18</v>
      </c>
      <c r="J17" s="5" t="s">
        <v>45</v>
      </c>
      <c r="K17" s="4">
        <v>45693</v>
      </c>
      <c r="L17" s="4">
        <v>36133</v>
      </c>
      <c r="M17" s="3" t="s">
        <v>373</v>
      </c>
      <c r="N17" s="3" t="s">
        <v>309</v>
      </c>
      <c r="O17" s="6" t="s">
        <v>48</v>
      </c>
      <c r="P17" s="6" t="s">
        <v>96</v>
      </c>
      <c r="Q17" s="6">
        <v>3</v>
      </c>
      <c r="R17" s="6" t="s">
        <v>50</v>
      </c>
      <c r="S17" s="6" t="s">
        <v>51</v>
      </c>
    </row>
    <row r="18" spans="2:19" ht="12" x14ac:dyDescent="0.25">
      <c r="B18" s="3" t="s">
        <v>374</v>
      </c>
      <c r="C18" s="3" t="s">
        <v>375</v>
      </c>
      <c r="D18" s="3" t="s">
        <v>376</v>
      </c>
      <c r="E18" s="3" t="s">
        <v>377</v>
      </c>
      <c r="F18" s="3" t="s">
        <v>378</v>
      </c>
      <c r="G18" s="3" t="s">
        <v>17</v>
      </c>
      <c r="H18" s="4">
        <v>45383</v>
      </c>
      <c r="I18" s="3" t="s">
        <v>18</v>
      </c>
      <c r="J18" s="5" t="s">
        <v>45</v>
      </c>
      <c r="K18" s="4">
        <v>45693</v>
      </c>
      <c r="L18" s="4">
        <v>36290</v>
      </c>
      <c r="M18" s="3" t="s">
        <v>379</v>
      </c>
      <c r="N18" s="3" t="s">
        <v>380</v>
      </c>
      <c r="O18" s="6" t="s">
        <v>48</v>
      </c>
      <c r="P18" s="6" t="s">
        <v>49</v>
      </c>
      <c r="Q18" s="6">
        <v>4</v>
      </c>
      <c r="R18" s="6" t="s">
        <v>51</v>
      </c>
      <c r="S18" s="6" t="s">
        <v>51</v>
      </c>
    </row>
    <row r="19" spans="2:19" ht="12" x14ac:dyDescent="0.25">
      <c r="B19" s="3" t="s">
        <v>381</v>
      </c>
      <c r="C19" s="3" t="s">
        <v>382</v>
      </c>
      <c r="D19" s="3" t="s">
        <v>124</v>
      </c>
      <c r="E19" s="3" t="s">
        <v>383</v>
      </c>
      <c r="F19" s="3" t="s">
        <v>384</v>
      </c>
      <c r="G19" s="3" t="s">
        <v>25</v>
      </c>
      <c r="H19" s="4">
        <v>45488</v>
      </c>
      <c r="I19" s="3" t="s">
        <v>18</v>
      </c>
      <c r="J19" s="5" t="s">
        <v>26</v>
      </c>
      <c r="K19" s="4">
        <v>45693</v>
      </c>
      <c r="L19" s="4">
        <v>37315</v>
      </c>
      <c r="M19" s="3" t="s">
        <v>385</v>
      </c>
      <c r="N19" s="3" t="s">
        <v>386</v>
      </c>
      <c r="O19" s="6" t="s">
        <v>39</v>
      </c>
      <c r="P19" s="6" t="s">
        <v>30</v>
      </c>
      <c r="Q19" s="6" t="s">
        <v>30</v>
      </c>
      <c r="R19" s="6" t="s">
        <v>30</v>
      </c>
      <c r="S19" s="6" t="s">
        <v>30</v>
      </c>
    </row>
    <row r="20" spans="2:19" ht="12" x14ac:dyDescent="0.25">
      <c r="B20" s="3" t="s">
        <v>387</v>
      </c>
      <c r="C20" s="3" t="s">
        <v>388</v>
      </c>
      <c r="D20" s="3" t="s">
        <v>42</v>
      </c>
      <c r="E20" s="3" t="s">
        <v>389</v>
      </c>
      <c r="F20" s="3" t="s">
        <v>390</v>
      </c>
      <c r="G20" s="3" t="s">
        <v>25</v>
      </c>
      <c r="H20" s="4">
        <v>45511</v>
      </c>
      <c r="I20" s="3" t="s">
        <v>18</v>
      </c>
      <c r="J20" s="5" t="s">
        <v>93</v>
      </c>
      <c r="K20" s="4">
        <v>45695</v>
      </c>
      <c r="L20" s="4">
        <v>38541</v>
      </c>
      <c r="M20" s="3" t="s">
        <v>391</v>
      </c>
      <c r="N20" s="3" t="s">
        <v>391</v>
      </c>
      <c r="O20" s="6" t="s">
        <v>39</v>
      </c>
      <c r="P20" s="6" t="s">
        <v>30</v>
      </c>
      <c r="Q20" s="6" t="s">
        <v>30</v>
      </c>
      <c r="R20" s="6" t="s">
        <v>30</v>
      </c>
      <c r="S20" s="6" t="s">
        <v>30</v>
      </c>
    </row>
    <row r="21" spans="2:19" ht="12" x14ac:dyDescent="0.25">
      <c r="B21" s="3" t="s">
        <v>392</v>
      </c>
      <c r="C21" s="3" t="s">
        <v>393</v>
      </c>
      <c r="D21" s="3" t="s">
        <v>394</v>
      </c>
      <c r="E21" s="3" t="s">
        <v>395</v>
      </c>
      <c r="F21" s="3" t="s">
        <v>396</v>
      </c>
      <c r="G21" s="3" t="s">
        <v>17</v>
      </c>
      <c r="H21" s="4">
        <v>45505</v>
      </c>
      <c r="I21" s="3" t="s">
        <v>18</v>
      </c>
      <c r="J21" s="5" t="s">
        <v>26</v>
      </c>
      <c r="K21" s="4">
        <v>45699</v>
      </c>
      <c r="L21" s="4">
        <v>33000</v>
      </c>
      <c r="M21" s="3" t="s">
        <v>397</v>
      </c>
      <c r="N21" s="3" t="s">
        <v>398</v>
      </c>
      <c r="O21" s="6" t="s">
        <v>399</v>
      </c>
      <c r="P21" s="6" t="s">
        <v>49</v>
      </c>
      <c r="Q21" s="6">
        <v>4</v>
      </c>
      <c r="R21" s="6" t="s">
        <v>50</v>
      </c>
      <c r="S21" s="6" t="s">
        <v>153</v>
      </c>
    </row>
    <row r="22" spans="2:19" ht="12" x14ac:dyDescent="0.25">
      <c r="B22" s="3" t="s">
        <v>400</v>
      </c>
      <c r="C22" s="3" t="s">
        <v>401</v>
      </c>
      <c r="D22" s="3" t="s">
        <v>402</v>
      </c>
      <c r="E22" s="3" t="s">
        <v>403</v>
      </c>
      <c r="F22" s="3" t="s">
        <v>404</v>
      </c>
      <c r="G22" s="3" t="s">
        <v>25</v>
      </c>
      <c r="H22" s="4">
        <v>45538</v>
      </c>
      <c r="I22" s="3" t="s">
        <v>18</v>
      </c>
      <c r="J22" s="5" t="s">
        <v>26</v>
      </c>
      <c r="K22" s="4">
        <v>45702</v>
      </c>
      <c r="L22" s="4">
        <v>38540</v>
      </c>
      <c r="M22" s="3" t="s">
        <v>405</v>
      </c>
      <c r="N22" s="3" t="s">
        <v>139</v>
      </c>
      <c r="O22" s="6" t="s">
        <v>48</v>
      </c>
      <c r="P22" s="6" t="s">
        <v>49</v>
      </c>
      <c r="Q22" s="6">
        <v>4</v>
      </c>
      <c r="R22" s="6" t="s">
        <v>51</v>
      </c>
      <c r="S22" s="6" t="s">
        <v>51</v>
      </c>
    </row>
    <row r="23" spans="2:19" ht="12" x14ac:dyDescent="0.25">
      <c r="B23" s="3" t="s">
        <v>406</v>
      </c>
      <c r="C23" s="3" t="s">
        <v>407</v>
      </c>
      <c r="D23" s="3" t="s">
        <v>408</v>
      </c>
      <c r="E23" s="3" t="s">
        <v>409</v>
      </c>
      <c r="F23" s="3" t="s">
        <v>410</v>
      </c>
      <c r="G23" s="3" t="s">
        <v>17</v>
      </c>
      <c r="H23" s="4">
        <v>45548</v>
      </c>
      <c r="I23" s="3" t="s">
        <v>18</v>
      </c>
      <c r="J23" s="5" t="s">
        <v>26</v>
      </c>
      <c r="K23" s="4">
        <v>45698</v>
      </c>
      <c r="L23" s="4">
        <v>37086</v>
      </c>
      <c r="M23" s="3" t="s">
        <v>411</v>
      </c>
      <c r="N23" s="3" t="s">
        <v>412</v>
      </c>
      <c r="O23" s="6" t="s">
        <v>48</v>
      </c>
      <c r="P23" s="6" t="s">
        <v>49</v>
      </c>
      <c r="Q23" s="6">
        <v>5</v>
      </c>
      <c r="R23" s="6" t="s">
        <v>50</v>
      </c>
      <c r="S23" s="6" t="s">
        <v>413</v>
      </c>
    </row>
    <row r="24" spans="2:19" ht="12" x14ac:dyDescent="0.25">
      <c r="B24" s="3" t="s">
        <v>414</v>
      </c>
      <c r="C24" s="3" t="s">
        <v>415</v>
      </c>
      <c r="D24" s="3" t="s">
        <v>416</v>
      </c>
      <c r="E24" s="3" t="s">
        <v>417</v>
      </c>
      <c r="F24" s="3" t="s">
        <v>418</v>
      </c>
      <c r="G24" s="3" t="s">
        <v>17</v>
      </c>
      <c r="H24" s="4">
        <v>45619</v>
      </c>
      <c r="I24" s="3" t="s">
        <v>18</v>
      </c>
      <c r="J24" s="5" t="s">
        <v>93</v>
      </c>
      <c r="K24" s="4">
        <v>45716</v>
      </c>
      <c r="L24" s="4">
        <v>36366</v>
      </c>
      <c r="M24" s="3" t="s">
        <v>419</v>
      </c>
      <c r="N24" s="3" t="s">
        <v>420</v>
      </c>
      <c r="O24" s="6" t="s">
        <v>48</v>
      </c>
      <c r="P24" s="6" t="s">
        <v>49</v>
      </c>
      <c r="Q24" s="6">
        <v>3</v>
      </c>
      <c r="R24" s="6" t="s">
        <v>68</v>
      </c>
      <c r="S24" s="6" t="s">
        <v>30</v>
      </c>
    </row>
    <row r="25" spans="2:19" ht="12" x14ac:dyDescent="0.25">
      <c r="B25" s="3" t="s">
        <v>421</v>
      </c>
      <c r="C25" s="3" t="s">
        <v>422</v>
      </c>
      <c r="D25" s="3" t="s">
        <v>124</v>
      </c>
      <c r="E25" s="3" t="s">
        <v>423</v>
      </c>
      <c r="F25" s="3" t="s">
        <v>424</v>
      </c>
      <c r="G25" s="3" t="s">
        <v>25</v>
      </c>
      <c r="H25" s="4">
        <v>45619</v>
      </c>
      <c r="I25" s="3" t="s">
        <v>18</v>
      </c>
      <c r="J25" s="5" t="s">
        <v>57</v>
      </c>
      <c r="K25" s="4">
        <v>45710</v>
      </c>
      <c r="L25" s="4">
        <v>34710</v>
      </c>
      <c r="M25" s="3" t="s">
        <v>425</v>
      </c>
      <c r="N25" s="3" t="s">
        <v>426</v>
      </c>
      <c r="O25" s="6" t="s">
        <v>427</v>
      </c>
      <c r="P25" s="6" t="s">
        <v>96</v>
      </c>
      <c r="Q25" s="6">
        <v>2</v>
      </c>
      <c r="R25" s="6" t="s">
        <v>68</v>
      </c>
      <c r="S25" s="6" t="s">
        <v>30</v>
      </c>
    </row>
    <row r="26" spans="2:19" ht="12" x14ac:dyDescent="0.25">
      <c r="B26" s="3" t="s">
        <v>428</v>
      </c>
      <c r="C26" s="3" t="s">
        <v>429</v>
      </c>
      <c r="D26" s="3" t="s">
        <v>42</v>
      </c>
      <c r="E26" s="3" t="s">
        <v>430</v>
      </c>
      <c r="F26" s="3" t="s">
        <v>431</v>
      </c>
      <c r="G26" s="3" t="s">
        <v>25</v>
      </c>
      <c r="H26" s="4">
        <v>45619</v>
      </c>
      <c r="I26" s="3" t="s">
        <v>18</v>
      </c>
      <c r="J26" s="5" t="s">
        <v>93</v>
      </c>
      <c r="K26" s="4">
        <v>45699</v>
      </c>
      <c r="L26" s="4">
        <v>35255</v>
      </c>
      <c r="M26" s="3" t="s">
        <v>259</v>
      </c>
      <c r="N26" s="3" t="s">
        <v>259</v>
      </c>
      <c r="O26" s="6" t="s">
        <v>48</v>
      </c>
      <c r="P26" s="6" t="s">
        <v>556</v>
      </c>
      <c r="Q26" s="6">
        <v>3</v>
      </c>
      <c r="R26" s="6" t="s">
        <v>51</v>
      </c>
      <c r="S26" s="6" t="s">
        <v>51</v>
      </c>
    </row>
    <row r="27" spans="2:19" ht="12" x14ac:dyDescent="0.25">
      <c r="B27" s="3" t="s">
        <v>432</v>
      </c>
      <c r="C27" s="3" t="s">
        <v>433</v>
      </c>
      <c r="D27" s="3" t="s">
        <v>33</v>
      </c>
      <c r="E27" s="3" t="s">
        <v>434</v>
      </c>
      <c r="F27" s="3" t="s">
        <v>435</v>
      </c>
      <c r="G27" s="3" t="s">
        <v>17</v>
      </c>
      <c r="H27" s="4">
        <v>45618</v>
      </c>
      <c r="I27" s="3" t="s">
        <v>18</v>
      </c>
      <c r="J27" s="5" t="s">
        <v>26</v>
      </c>
      <c r="K27" s="4">
        <v>45702</v>
      </c>
      <c r="L27" s="4">
        <v>38778</v>
      </c>
      <c r="M27" s="3" t="s">
        <v>436</v>
      </c>
      <c r="N27" s="3" t="s">
        <v>139</v>
      </c>
      <c r="O27" s="6" t="s">
        <v>48</v>
      </c>
      <c r="P27" s="6" t="s">
        <v>557</v>
      </c>
      <c r="Q27" s="6">
        <v>4</v>
      </c>
      <c r="R27" s="6" t="s">
        <v>51</v>
      </c>
      <c r="S27" s="6" t="s">
        <v>51</v>
      </c>
    </row>
    <row r="28" spans="2:19" ht="12" x14ac:dyDescent="0.25">
      <c r="B28" s="3" t="s">
        <v>437</v>
      </c>
      <c r="C28" s="3" t="s">
        <v>255</v>
      </c>
      <c r="D28" s="3" t="s">
        <v>186</v>
      </c>
      <c r="E28" s="3" t="s">
        <v>438</v>
      </c>
      <c r="F28" s="3" t="s">
        <v>439</v>
      </c>
      <c r="G28" s="3" t="s">
        <v>17</v>
      </c>
      <c r="H28" s="4">
        <v>45615</v>
      </c>
      <c r="I28" s="3" t="s">
        <v>18</v>
      </c>
      <c r="J28" s="5" t="s">
        <v>57</v>
      </c>
      <c r="K28" s="4">
        <v>45698</v>
      </c>
      <c r="L28" s="4">
        <v>38813</v>
      </c>
      <c r="M28" s="3" t="s">
        <v>440</v>
      </c>
      <c r="N28" s="3" t="s">
        <v>259</v>
      </c>
      <c r="O28" s="6" t="s">
        <v>159</v>
      </c>
      <c r="P28" s="6" t="s">
        <v>30</v>
      </c>
      <c r="Q28" s="6" t="s">
        <v>30</v>
      </c>
      <c r="R28" s="6" t="s">
        <v>30</v>
      </c>
      <c r="S28" s="6" t="s">
        <v>30</v>
      </c>
    </row>
    <row r="29" spans="2:19" ht="12" x14ac:dyDescent="0.25">
      <c r="B29" s="3" t="s">
        <v>441</v>
      </c>
      <c r="C29" s="3" t="s">
        <v>442</v>
      </c>
      <c r="D29" s="3" t="s">
        <v>443</v>
      </c>
      <c r="E29" s="3" t="s">
        <v>344</v>
      </c>
      <c r="F29" s="3" t="s">
        <v>444</v>
      </c>
      <c r="G29" s="3" t="s">
        <v>25</v>
      </c>
      <c r="H29" s="4">
        <v>45600</v>
      </c>
      <c r="I29" s="3" t="s">
        <v>18</v>
      </c>
      <c r="J29" s="5" t="s">
        <v>57</v>
      </c>
      <c r="K29" s="4">
        <v>45692</v>
      </c>
      <c r="L29" s="4">
        <v>37761</v>
      </c>
      <c r="M29" s="3" t="s">
        <v>445</v>
      </c>
      <c r="N29" s="3" t="s">
        <v>201</v>
      </c>
      <c r="O29" s="6" t="s">
        <v>159</v>
      </c>
      <c r="P29" s="6" t="s">
        <v>30</v>
      </c>
      <c r="Q29" s="6" t="s">
        <v>30</v>
      </c>
      <c r="R29" s="6" t="s">
        <v>30</v>
      </c>
      <c r="S29" s="6" t="s">
        <v>30</v>
      </c>
    </row>
    <row r="30" spans="2:19" ht="12" x14ac:dyDescent="0.25">
      <c r="B30" s="3" t="s">
        <v>446</v>
      </c>
      <c r="C30" s="3" t="s">
        <v>447</v>
      </c>
      <c r="D30" s="3" t="s">
        <v>42</v>
      </c>
      <c r="E30" s="3" t="s">
        <v>448</v>
      </c>
      <c r="F30" s="3" t="s">
        <v>449</v>
      </c>
      <c r="G30" s="3" t="s">
        <v>17</v>
      </c>
      <c r="H30" s="4">
        <v>45629</v>
      </c>
      <c r="I30" s="3" t="s">
        <v>18</v>
      </c>
      <c r="J30" s="5" t="s">
        <v>45</v>
      </c>
      <c r="K30" s="4">
        <v>45702</v>
      </c>
      <c r="L30" s="4">
        <v>34530</v>
      </c>
      <c r="M30" s="3" t="s">
        <v>450</v>
      </c>
      <c r="N30" s="3" t="s">
        <v>451</v>
      </c>
      <c r="O30" s="6" t="s">
        <v>558</v>
      </c>
      <c r="P30" s="6" t="s">
        <v>176</v>
      </c>
      <c r="Q30" s="6">
        <v>4</v>
      </c>
      <c r="R30" s="6" t="s">
        <v>559</v>
      </c>
      <c r="S30" s="6" t="s">
        <v>30</v>
      </c>
    </row>
    <row r="31" spans="2:19" ht="12" x14ac:dyDescent="0.25">
      <c r="B31" s="3" t="s">
        <v>452</v>
      </c>
      <c r="C31" s="3" t="s">
        <v>453</v>
      </c>
      <c r="D31" s="3" t="s">
        <v>454</v>
      </c>
      <c r="E31" s="3" t="s">
        <v>455</v>
      </c>
      <c r="F31" s="3" t="s">
        <v>456</v>
      </c>
      <c r="G31" s="3" t="s">
        <v>25</v>
      </c>
      <c r="H31" s="4">
        <v>45628</v>
      </c>
      <c r="I31" s="3" t="s">
        <v>18</v>
      </c>
      <c r="J31" s="5" t="s">
        <v>93</v>
      </c>
      <c r="K31" s="4">
        <v>45689</v>
      </c>
      <c r="L31" s="4">
        <v>37473</v>
      </c>
      <c r="M31" s="3" t="s">
        <v>457</v>
      </c>
      <c r="N31" s="3" t="s">
        <v>297</v>
      </c>
      <c r="O31" s="6" t="s">
        <v>560</v>
      </c>
      <c r="P31" s="6" t="s">
        <v>176</v>
      </c>
      <c r="Q31" s="6">
        <v>3</v>
      </c>
      <c r="R31" s="6" t="s">
        <v>68</v>
      </c>
      <c r="S31" s="6" t="s">
        <v>30</v>
      </c>
    </row>
    <row r="32" spans="2:19" ht="12" x14ac:dyDescent="0.25">
      <c r="B32" s="3" t="s">
        <v>458</v>
      </c>
      <c r="C32" s="3" t="s">
        <v>459</v>
      </c>
      <c r="D32" s="3" t="s">
        <v>124</v>
      </c>
      <c r="E32" s="3" t="s">
        <v>460</v>
      </c>
      <c r="F32" s="3" t="s">
        <v>461</v>
      </c>
      <c r="G32" s="3" t="s">
        <v>25</v>
      </c>
      <c r="H32" s="4">
        <v>45632</v>
      </c>
      <c r="I32" s="3" t="s">
        <v>18</v>
      </c>
      <c r="J32" s="5" t="s">
        <v>36</v>
      </c>
      <c r="K32" s="4">
        <v>45713</v>
      </c>
      <c r="L32" s="4">
        <v>35919</v>
      </c>
      <c r="M32" s="3" t="s">
        <v>462</v>
      </c>
      <c r="N32" s="3" t="s">
        <v>88</v>
      </c>
      <c r="O32" s="6" t="s">
        <v>159</v>
      </c>
      <c r="P32" s="6" t="s">
        <v>30</v>
      </c>
      <c r="Q32" s="6" t="s">
        <v>30</v>
      </c>
      <c r="R32" s="6" t="s">
        <v>30</v>
      </c>
      <c r="S32" s="6" t="s">
        <v>30</v>
      </c>
    </row>
    <row r="33" spans="2:19" ht="12" x14ac:dyDescent="0.25">
      <c r="B33" s="3" t="s">
        <v>463</v>
      </c>
      <c r="C33" s="3" t="s">
        <v>464</v>
      </c>
      <c r="D33" s="3" t="s">
        <v>33</v>
      </c>
      <c r="E33" s="3" t="s">
        <v>465</v>
      </c>
      <c r="F33" s="3" t="s">
        <v>466</v>
      </c>
      <c r="G33" s="3" t="s">
        <v>17</v>
      </c>
      <c r="H33" s="4">
        <v>45617</v>
      </c>
      <c r="I33" s="3" t="s">
        <v>18</v>
      </c>
      <c r="J33" s="5" t="s">
        <v>36</v>
      </c>
      <c r="K33" s="4">
        <v>45714</v>
      </c>
      <c r="L33" s="4">
        <v>37298</v>
      </c>
      <c r="M33" s="3" t="s">
        <v>467</v>
      </c>
      <c r="N33" s="3" t="s">
        <v>151</v>
      </c>
      <c r="O33" s="6" t="s">
        <v>48</v>
      </c>
      <c r="P33" s="6" t="s">
        <v>96</v>
      </c>
      <c r="Q33" s="6">
        <v>3</v>
      </c>
      <c r="R33" s="6" t="s">
        <v>68</v>
      </c>
      <c r="S33" s="6" t="s">
        <v>30</v>
      </c>
    </row>
    <row r="34" spans="2:19" ht="12" x14ac:dyDescent="0.25">
      <c r="B34" s="3" t="s">
        <v>468</v>
      </c>
      <c r="C34" s="3" t="s">
        <v>469</v>
      </c>
      <c r="D34" s="3" t="s">
        <v>470</v>
      </c>
      <c r="E34" s="3" t="s">
        <v>471</v>
      </c>
      <c r="F34" s="3" t="s">
        <v>472</v>
      </c>
      <c r="G34" s="3" t="s">
        <v>17</v>
      </c>
      <c r="H34" s="4">
        <v>45638</v>
      </c>
      <c r="I34" s="3" t="s">
        <v>18</v>
      </c>
      <c r="J34" s="5" t="s">
        <v>57</v>
      </c>
      <c r="K34" s="4">
        <v>45695</v>
      </c>
      <c r="L34" s="4">
        <v>37437</v>
      </c>
      <c r="M34" s="3" t="s">
        <v>473</v>
      </c>
      <c r="N34" s="3" t="s">
        <v>474</v>
      </c>
      <c r="O34" s="6" t="s">
        <v>159</v>
      </c>
      <c r="P34" s="6" t="s">
        <v>30</v>
      </c>
      <c r="Q34" s="6" t="s">
        <v>30</v>
      </c>
      <c r="R34" s="6" t="s">
        <v>30</v>
      </c>
      <c r="S34" s="6" t="s">
        <v>30</v>
      </c>
    </row>
    <row r="35" spans="2:19" ht="12" x14ac:dyDescent="0.25">
      <c r="B35" s="3" t="s">
        <v>475</v>
      </c>
      <c r="C35" s="3" t="s">
        <v>476</v>
      </c>
      <c r="D35" s="3" t="s">
        <v>124</v>
      </c>
      <c r="E35" s="3" t="s">
        <v>477</v>
      </c>
      <c r="F35" s="3" t="s">
        <v>478</v>
      </c>
      <c r="G35" s="3" t="s">
        <v>25</v>
      </c>
      <c r="H35" s="4">
        <v>45649</v>
      </c>
      <c r="I35" s="3" t="s">
        <v>18</v>
      </c>
      <c r="J35" s="5" t="s">
        <v>26</v>
      </c>
      <c r="K35" s="4">
        <v>45695</v>
      </c>
      <c r="L35" s="4">
        <v>37820</v>
      </c>
      <c r="M35" s="3" t="s">
        <v>479</v>
      </c>
      <c r="N35" s="3" t="s">
        <v>212</v>
      </c>
      <c r="O35" s="6" t="s">
        <v>48</v>
      </c>
      <c r="P35" s="6" t="s">
        <v>49</v>
      </c>
      <c r="Q35" s="6">
        <v>3</v>
      </c>
      <c r="R35" s="6" t="s">
        <v>68</v>
      </c>
      <c r="S35" s="6" t="s">
        <v>30</v>
      </c>
    </row>
    <row r="36" spans="2:19" ht="12" x14ac:dyDescent="0.25">
      <c r="B36" s="3" t="s">
        <v>480</v>
      </c>
      <c r="C36" s="3" t="s">
        <v>71</v>
      </c>
      <c r="D36" s="3" t="s">
        <v>42</v>
      </c>
      <c r="E36" s="3" t="s">
        <v>481</v>
      </c>
      <c r="F36" s="3" t="s">
        <v>482</v>
      </c>
      <c r="G36" s="3" t="s">
        <v>17</v>
      </c>
      <c r="H36" s="4">
        <v>45642</v>
      </c>
      <c r="I36" s="3" t="s">
        <v>18</v>
      </c>
      <c r="J36" s="5" t="s">
        <v>26</v>
      </c>
      <c r="K36" s="4">
        <v>45701</v>
      </c>
      <c r="L36" s="4">
        <v>37200</v>
      </c>
      <c r="M36" s="3" t="s">
        <v>483</v>
      </c>
      <c r="N36" s="3" t="s">
        <v>201</v>
      </c>
      <c r="O36" s="6" t="s">
        <v>159</v>
      </c>
      <c r="P36" s="6" t="s">
        <v>30</v>
      </c>
      <c r="Q36" s="6" t="s">
        <v>30</v>
      </c>
      <c r="R36" s="6" t="s">
        <v>30</v>
      </c>
      <c r="S36" s="6" t="s">
        <v>30</v>
      </c>
    </row>
    <row r="37" spans="2:19" ht="12" x14ac:dyDescent="0.25">
      <c r="B37" s="3" t="s">
        <v>484</v>
      </c>
      <c r="C37" s="3" t="s">
        <v>230</v>
      </c>
      <c r="D37" s="3" t="s">
        <v>186</v>
      </c>
      <c r="E37" s="3" t="s">
        <v>485</v>
      </c>
      <c r="F37" s="3" t="s">
        <v>486</v>
      </c>
      <c r="G37" s="3" t="s">
        <v>17</v>
      </c>
      <c r="H37" s="4">
        <v>45667</v>
      </c>
      <c r="I37" s="3" t="s">
        <v>18</v>
      </c>
      <c r="J37" s="5" t="s">
        <v>93</v>
      </c>
      <c r="K37" s="4">
        <v>45705</v>
      </c>
      <c r="L37" s="4">
        <v>38543</v>
      </c>
      <c r="M37" s="3" t="s">
        <v>487</v>
      </c>
      <c r="N37" s="3" t="s">
        <v>151</v>
      </c>
      <c r="O37" s="6" t="s">
        <v>159</v>
      </c>
      <c r="P37" s="6" t="s">
        <v>30</v>
      </c>
      <c r="Q37" s="6" t="s">
        <v>30</v>
      </c>
      <c r="R37" s="6" t="s">
        <v>30</v>
      </c>
      <c r="S37" s="6" t="s">
        <v>30</v>
      </c>
    </row>
    <row r="38" spans="2:19" ht="12" x14ac:dyDescent="0.25">
      <c r="B38" s="3" t="s">
        <v>488</v>
      </c>
      <c r="C38" s="3" t="s">
        <v>489</v>
      </c>
      <c r="D38" s="3" t="s">
        <v>42</v>
      </c>
      <c r="E38" s="3" t="s">
        <v>490</v>
      </c>
      <c r="F38" s="3" t="s">
        <v>491</v>
      </c>
      <c r="G38" s="3" t="s">
        <v>25</v>
      </c>
      <c r="H38" s="4">
        <v>45666</v>
      </c>
      <c r="I38" s="3" t="s">
        <v>18</v>
      </c>
      <c r="J38" s="5" t="s">
        <v>57</v>
      </c>
      <c r="K38" s="4">
        <v>45689</v>
      </c>
      <c r="L38" s="4">
        <v>39083</v>
      </c>
      <c r="M38" s="3" t="s">
        <v>492</v>
      </c>
      <c r="N38" s="3" t="s">
        <v>493</v>
      </c>
      <c r="O38" s="6" t="s">
        <v>159</v>
      </c>
      <c r="P38" s="6" t="s">
        <v>30</v>
      </c>
      <c r="Q38" s="6" t="s">
        <v>30</v>
      </c>
      <c r="R38" s="6" t="s">
        <v>30</v>
      </c>
      <c r="S38" s="6" t="s">
        <v>30</v>
      </c>
    </row>
    <row r="39" spans="2:19" ht="12" x14ac:dyDescent="0.25">
      <c r="B39" s="3" t="s">
        <v>494</v>
      </c>
      <c r="C39" s="3" t="s">
        <v>359</v>
      </c>
      <c r="D39" s="3" t="s">
        <v>33</v>
      </c>
      <c r="E39" s="3" t="s">
        <v>495</v>
      </c>
      <c r="F39" s="3" t="s">
        <v>496</v>
      </c>
      <c r="G39" s="3" t="s">
        <v>17</v>
      </c>
      <c r="H39" s="4">
        <v>45664</v>
      </c>
      <c r="I39" s="3" t="s">
        <v>18</v>
      </c>
      <c r="J39" s="5" t="s">
        <v>26</v>
      </c>
      <c r="K39" s="4">
        <v>45702</v>
      </c>
      <c r="L39" s="4">
        <v>37840</v>
      </c>
      <c r="M39" s="3" t="s">
        <v>497</v>
      </c>
      <c r="N39" s="3" t="s">
        <v>498</v>
      </c>
      <c r="O39" s="6" t="s">
        <v>278</v>
      </c>
      <c r="P39" s="6" t="s">
        <v>176</v>
      </c>
      <c r="Q39" s="6">
        <v>3</v>
      </c>
      <c r="R39" s="6" t="s">
        <v>68</v>
      </c>
      <c r="S39" s="6" t="s">
        <v>30</v>
      </c>
    </row>
    <row r="40" spans="2:19" ht="12" x14ac:dyDescent="0.25">
      <c r="B40" s="3" t="s">
        <v>499</v>
      </c>
      <c r="C40" s="3" t="s">
        <v>500</v>
      </c>
      <c r="D40" s="3" t="s">
        <v>33</v>
      </c>
      <c r="E40" s="3" t="s">
        <v>501</v>
      </c>
      <c r="F40" s="3" t="s">
        <v>502</v>
      </c>
      <c r="G40" s="3" t="s">
        <v>17</v>
      </c>
      <c r="H40" s="4">
        <v>45665</v>
      </c>
      <c r="I40" s="3" t="s">
        <v>18</v>
      </c>
      <c r="J40" s="5" t="s">
        <v>57</v>
      </c>
      <c r="K40" s="4">
        <v>45694</v>
      </c>
      <c r="L40" s="4">
        <v>36474</v>
      </c>
      <c r="M40" s="3" t="s">
        <v>503</v>
      </c>
      <c r="N40" s="3" t="s">
        <v>504</v>
      </c>
      <c r="O40" s="6" t="s">
        <v>278</v>
      </c>
      <c r="P40" s="6" t="s">
        <v>49</v>
      </c>
      <c r="Q40" s="6">
        <v>4</v>
      </c>
      <c r="R40" s="6" t="s">
        <v>68</v>
      </c>
      <c r="S40" s="6" t="s">
        <v>30</v>
      </c>
    </row>
    <row r="41" spans="2:19" ht="12" x14ac:dyDescent="0.25">
      <c r="B41" s="3" t="s">
        <v>505</v>
      </c>
      <c r="C41" s="3" t="s">
        <v>506</v>
      </c>
      <c r="D41" s="3" t="s">
        <v>33</v>
      </c>
      <c r="E41" s="3" t="s">
        <v>507</v>
      </c>
      <c r="F41" s="3" t="s">
        <v>508</v>
      </c>
      <c r="G41" s="3" t="s">
        <v>17</v>
      </c>
      <c r="H41" s="4">
        <v>45665</v>
      </c>
      <c r="I41" s="3" t="s">
        <v>18</v>
      </c>
      <c r="J41" s="5" t="s">
        <v>57</v>
      </c>
      <c r="K41" s="4">
        <v>45710</v>
      </c>
      <c r="L41" s="4">
        <v>37626</v>
      </c>
      <c r="M41" s="3" t="s">
        <v>509</v>
      </c>
      <c r="N41" s="3" t="s">
        <v>88</v>
      </c>
      <c r="O41" s="6" t="s">
        <v>39</v>
      </c>
      <c r="P41" s="6" t="s">
        <v>30</v>
      </c>
      <c r="Q41" s="6" t="s">
        <v>30</v>
      </c>
      <c r="R41" s="6" t="s">
        <v>30</v>
      </c>
      <c r="S41" s="6" t="s">
        <v>30</v>
      </c>
    </row>
    <row r="42" spans="2:19" ht="12" x14ac:dyDescent="0.25">
      <c r="B42" s="3" t="s">
        <v>510</v>
      </c>
      <c r="C42" s="3" t="s">
        <v>511</v>
      </c>
      <c r="D42" s="3" t="s">
        <v>42</v>
      </c>
      <c r="E42" s="3" t="s">
        <v>512</v>
      </c>
      <c r="F42" s="3" t="s">
        <v>513</v>
      </c>
      <c r="G42" s="3" t="s">
        <v>25</v>
      </c>
      <c r="H42" s="4">
        <v>45671</v>
      </c>
      <c r="I42" s="3" t="s">
        <v>18</v>
      </c>
      <c r="J42" s="5" t="s">
        <v>26</v>
      </c>
      <c r="K42" s="4">
        <v>45690</v>
      </c>
      <c r="L42" s="4">
        <v>36175</v>
      </c>
      <c r="M42" s="3" t="s">
        <v>514</v>
      </c>
      <c r="N42" s="3" t="s">
        <v>451</v>
      </c>
      <c r="O42" s="6" t="s">
        <v>39</v>
      </c>
      <c r="P42" s="6" t="s">
        <v>30</v>
      </c>
      <c r="Q42" s="6" t="s">
        <v>30</v>
      </c>
      <c r="R42" s="6" t="s">
        <v>30</v>
      </c>
      <c r="S42" s="6" t="s">
        <v>30</v>
      </c>
    </row>
    <row r="43" spans="2:19" ht="12" x14ac:dyDescent="0.25">
      <c r="B43" s="3" t="s">
        <v>515</v>
      </c>
      <c r="C43" s="3" t="s">
        <v>192</v>
      </c>
      <c r="D43" s="3" t="s">
        <v>162</v>
      </c>
      <c r="E43" s="3" t="s">
        <v>516</v>
      </c>
      <c r="F43" s="3" t="s">
        <v>517</v>
      </c>
      <c r="G43" s="3" t="s">
        <v>25</v>
      </c>
      <c r="H43" s="4">
        <v>45666</v>
      </c>
      <c r="I43" s="3" t="s">
        <v>18</v>
      </c>
      <c r="J43" s="5" t="s">
        <v>36</v>
      </c>
      <c r="K43" s="4">
        <v>45706</v>
      </c>
      <c r="L43" s="4">
        <v>38202</v>
      </c>
      <c r="M43" s="3" t="s">
        <v>518</v>
      </c>
      <c r="N43" s="3" t="s">
        <v>519</v>
      </c>
      <c r="O43" s="6" t="s">
        <v>39</v>
      </c>
      <c r="P43" s="6" t="s">
        <v>30</v>
      </c>
      <c r="Q43" s="6" t="s">
        <v>30</v>
      </c>
      <c r="R43" s="6" t="s">
        <v>30</v>
      </c>
      <c r="S43" s="6" t="s">
        <v>30</v>
      </c>
    </row>
    <row r="44" spans="2:19" ht="12" x14ac:dyDescent="0.25">
      <c r="B44" s="3" t="s">
        <v>520</v>
      </c>
      <c r="C44" s="3" t="s">
        <v>521</v>
      </c>
      <c r="D44" s="3" t="s">
        <v>186</v>
      </c>
      <c r="E44" s="3" t="s">
        <v>522</v>
      </c>
      <c r="F44" s="3" t="s">
        <v>523</v>
      </c>
      <c r="G44" s="3" t="s">
        <v>17</v>
      </c>
      <c r="H44" s="4">
        <v>45667</v>
      </c>
      <c r="I44" s="3" t="s">
        <v>18</v>
      </c>
      <c r="J44" s="5" t="s">
        <v>45</v>
      </c>
      <c r="K44" s="4">
        <v>45702</v>
      </c>
      <c r="L44" s="4">
        <v>37493</v>
      </c>
      <c r="M44" s="3" t="s">
        <v>524</v>
      </c>
      <c r="N44" s="3" t="s">
        <v>259</v>
      </c>
      <c r="O44" s="6" t="s">
        <v>48</v>
      </c>
      <c r="P44" s="6" t="s">
        <v>96</v>
      </c>
      <c r="Q44" s="6">
        <v>3</v>
      </c>
      <c r="R44" s="6" t="s">
        <v>51</v>
      </c>
      <c r="S44" s="6" t="s">
        <v>51</v>
      </c>
    </row>
    <row r="45" spans="2:19" ht="12" x14ac:dyDescent="0.25">
      <c r="B45" s="3" t="s">
        <v>525</v>
      </c>
      <c r="C45" s="3" t="s">
        <v>526</v>
      </c>
      <c r="D45" s="3" t="s">
        <v>33</v>
      </c>
      <c r="E45" s="3" t="s">
        <v>527</v>
      </c>
      <c r="F45" s="3" t="s">
        <v>528</v>
      </c>
      <c r="G45" s="3" t="s">
        <v>17</v>
      </c>
      <c r="H45" s="4">
        <v>45666</v>
      </c>
      <c r="I45" s="3" t="s">
        <v>18</v>
      </c>
      <c r="J45" s="5" t="s">
        <v>93</v>
      </c>
      <c r="K45" s="4">
        <v>45702</v>
      </c>
      <c r="L45" s="4">
        <v>37415</v>
      </c>
      <c r="M45" s="3" t="s">
        <v>529</v>
      </c>
      <c r="N45" s="3" t="s">
        <v>530</v>
      </c>
      <c r="O45" s="6" t="s">
        <v>278</v>
      </c>
      <c r="P45" s="6" t="s">
        <v>561</v>
      </c>
      <c r="Q45" s="6">
        <v>2</v>
      </c>
      <c r="R45" s="6" t="s">
        <v>559</v>
      </c>
      <c r="S45" s="6" t="s">
        <v>30</v>
      </c>
    </row>
    <row r="46" spans="2:19" ht="12" x14ac:dyDescent="0.25">
      <c r="B46" s="3" t="s">
        <v>531</v>
      </c>
      <c r="C46" s="3" t="s">
        <v>64</v>
      </c>
      <c r="D46" s="3"/>
      <c r="E46" s="3" t="s">
        <v>532</v>
      </c>
      <c r="F46" s="3" t="s">
        <v>533</v>
      </c>
      <c r="G46" s="3" t="s">
        <v>17</v>
      </c>
      <c r="H46" s="4">
        <v>45672</v>
      </c>
      <c r="I46" s="3" t="s">
        <v>18</v>
      </c>
      <c r="J46" s="5" t="s">
        <v>36</v>
      </c>
      <c r="K46" s="4">
        <v>45699</v>
      </c>
      <c r="L46" s="4">
        <v>34885</v>
      </c>
      <c r="M46" s="3" t="s">
        <v>534</v>
      </c>
      <c r="N46" s="3" t="s">
        <v>535</v>
      </c>
      <c r="O46" s="6" t="s">
        <v>39</v>
      </c>
      <c r="P46" s="6" t="s">
        <v>30</v>
      </c>
      <c r="Q46" s="6" t="s">
        <v>30</v>
      </c>
      <c r="R46" s="6" t="s">
        <v>30</v>
      </c>
      <c r="S46" s="6" t="s">
        <v>30</v>
      </c>
    </row>
    <row r="47" spans="2:19" ht="12" x14ac:dyDescent="0.25">
      <c r="B47" s="3" t="s">
        <v>536</v>
      </c>
      <c r="C47" s="3" t="s">
        <v>537</v>
      </c>
      <c r="D47" s="3"/>
      <c r="E47" s="3" t="s">
        <v>538</v>
      </c>
      <c r="F47" s="3" t="s">
        <v>539</v>
      </c>
      <c r="G47" s="3" t="s">
        <v>17</v>
      </c>
      <c r="H47" s="4">
        <v>45705</v>
      </c>
      <c r="I47" s="3" t="s">
        <v>18</v>
      </c>
      <c r="J47" s="5" t="s">
        <v>26</v>
      </c>
      <c r="K47" s="4">
        <v>45716</v>
      </c>
      <c r="L47" s="4">
        <v>36687</v>
      </c>
      <c r="M47" s="3" t="s">
        <v>540</v>
      </c>
      <c r="N47" s="3" t="s">
        <v>253</v>
      </c>
      <c r="O47" s="6" t="s">
        <v>278</v>
      </c>
      <c r="P47" s="6" t="s">
        <v>176</v>
      </c>
      <c r="Q47" s="6">
        <v>3</v>
      </c>
      <c r="R47" s="6" t="s">
        <v>68</v>
      </c>
      <c r="S47" s="6" t="s">
        <v>30</v>
      </c>
    </row>
    <row r="48" spans="2:19" ht="12" x14ac:dyDescent="0.25">
      <c r="B48" s="3" t="s">
        <v>541</v>
      </c>
      <c r="C48" s="3" t="s">
        <v>197</v>
      </c>
      <c r="D48" s="3"/>
      <c r="E48" s="3" t="s">
        <v>193</v>
      </c>
      <c r="F48" s="3" t="s">
        <v>542</v>
      </c>
      <c r="G48" s="3" t="s">
        <v>17</v>
      </c>
      <c r="H48" s="4">
        <v>45714</v>
      </c>
      <c r="I48" s="3" t="s">
        <v>18</v>
      </c>
      <c r="J48" s="5" t="s">
        <v>45</v>
      </c>
      <c r="K48" s="4">
        <v>45716</v>
      </c>
      <c r="L48" s="4">
        <v>35389</v>
      </c>
      <c r="M48" s="3" t="s">
        <v>543</v>
      </c>
      <c r="N48" s="3" t="s">
        <v>544</v>
      </c>
      <c r="O48" s="6" t="s">
        <v>39</v>
      </c>
      <c r="P48" s="6" t="s">
        <v>30</v>
      </c>
      <c r="Q48" s="6" t="s">
        <v>30</v>
      </c>
      <c r="R48" s="6" t="s">
        <v>30</v>
      </c>
      <c r="S48" s="6" t="s">
        <v>30</v>
      </c>
    </row>
    <row r="49" spans="2:19" ht="12" x14ac:dyDescent="0.25">
      <c r="B49" s="3" t="s">
        <v>545</v>
      </c>
      <c r="C49" s="3" t="s">
        <v>546</v>
      </c>
      <c r="D49" s="3"/>
      <c r="E49" s="3" t="s">
        <v>547</v>
      </c>
      <c r="F49" s="3" t="s">
        <v>548</v>
      </c>
      <c r="G49" s="3" t="s">
        <v>17</v>
      </c>
      <c r="H49" s="4">
        <v>45707</v>
      </c>
      <c r="I49" s="3" t="s">
        <v>18</v>
      </c>
      <c r="J49" s="5" t="s">
        <v>93</v>
      </c>
      <c r="K49" s="4">
        <v>45710</v>
      </c>
      <c r="L49" s="4">
        <v>33429</v>
      </c>
      <c r="M49" s="3" t="s">
        <v>549</v>
      </c>
      <c r="N49" s="3" t="s">
        <v>47</v>
      </c>
      <c r="O49" s="6" t="s">
        <v>48</v>
      </c>
      <c r="P49" s="6" t="s">
        <v>352</v>
      </c>
      <c r="Q49" s="6">
        <v>4</v>
      </c>
      <c r="R49" s="6" t="s">
        <v>50</v>
      </c>
      <c r="S49" s="6" t="s">
        <v>51</v>
      </c>
    </row>
    <row r="50" spans="2:19" ht="12" x14ac:dyDescent="0.25">
      <c r="B50" s="3" t="s">
        <v>550</v>
      </c>
      <c r="C50" s="3" t="s">
        <v>551</v>
      </c>
      <c r="D50" s="3"/>
      <c r="E50" s="3" t="s">
        <v>552</v>
      </c>
      <c r="F50" s="3" t="s">
        <v>553</v>
      </c>
      <c r="G50" s="3" t="s">
        <v>17</v>
      </c>
      <c r="H50" s="4">
        <v>45636</v>
      </c>
      <c r="I50" s="3" t="s">
        <v>18</v>
      </c>
      <c r="J50" s="5" t="s">
        <v>36</v>
      </c>
      <c r="K50" s="4">
        <v>45689</v>
      </c>
      <c r="L50" s="4">
        <v>35990</v>
      </c>
      <c r="M50" s="3" t="s">
        <v>554</v>
      </c>
      <c r="N50" s="3" t="s">
        <v>555</v>
      </c>
      <c r="O50" s="6" t="s">
        <v>39</v>
      </c>
      <c r="P50" s="6" t="s">
        <v>30</v>
      </c>
      <c r="Q50" s="6" t="s">
        <v>30</v>
      </c>
      <c r="R50" s="6" t="s">
        <v>30</v>
      </c>
      <c r="S50" s="6" t="s">
        <v>30</v>
      </c>
    </row>
    <row r="54" spans="2:19" x14ac:dyDescent="0.25">
      <c r="J54" s="1" t="s">
        <v>797</v>
      </c>
      <c r="K54" s="1">
        <v>379</v>
      </c>
    </row>
  </sheetData>
  <autoFilter ref="B3:S3" xr:uid="{955E8286-6053-4A88-8428-690913DB72FF}"/>
  <dataValidations count="11">
    <dataValidation type="textLength" operator="lessThanOrEqual" allowBlank="1" showInputMessage="1" showErrorMessage="1" errorTitle="Invalid Column Value" error="Last Name must be 25 characters or less." prompt="Last Name Maximum Length is 25" sqref="D4:D45" xr:uid="{D3B0DE08-4960-42DF-B939-BC66553368D3}">
      <formula1>25</formula1>
    </dataValidation>
    <dataValidation type="textLength" operator="lessThanOrEqual" allowBlank="1" showInputMessage="1" showErrorMessage="1" errorTitle="Invalid Column Value" error="Employee Code must be 20 characters or less." prompt="Employee Code Maximum Length is 20" sqref="B4:B50" xr:uid="{7B2D3228-BF07-4F94-B7CD-7F7FA91C814D}">
      <formula1>20</formula1>
    </dataValidation>
    <dataValidation type="textLength" operator="lessThanOrEqual" allowBlank="1" showInputMessage="1" showErrorMessage="1" errorTitle="Invalid Column Value" error="First Name must be 25 characters or less." prompt="First Name Maximum Length is 25" sqref="C4:D50" xr:uid="{6BCD1E2A-BF07-42EA-9CA7-EB34A95292F4}">
      <formula1>25</formula1>
    </dataValidation>
    <dataValidation type="textLength" operator="lessThanOrEqual" allowBlank="1" showInputMessage="1" showErrorMessage="1" errorTitle="Invalid Column Value" error="Fathers Name must be 25 characters or less." prompt="Fathers Name Maximum Length is 25" sqref="E4:F50" xr:uid="{DDDBE406-CC02-4ECB-B200-246AC3BC5AE4}">
      <formula1>25</formula1>
    </dataValidation>
    <dataValidation type="list" allowBlank="1" showInputMessage="1" showErrorMessage="1" errorTitle="Invalid Column Value" error="Please select a valid option" promptTitle="Select option from List" prompt="M_x000a_F_x000a_T_x000a_" sqref="G4:G50" xr:uid="{EBBC011C-F014-47D3-B4F8-94A8B902DD4F}">
      <formula1>Gender</formula1>
    </dataValidation>
    <dataValidation type="date" allowBlank="1" showInputMessage="1" showErrorMessage="1" errorTitle="Invalid Column Value" error="Joining Date Date must be between 01-Jan-1900 And 20-May-2025" prompt="Joining Date Date between 01-Jan-1900 And 20-May-2025" sqref="H4:H50" xr:uid="{4A4AB059-06B4-451D-BBC1-77B46FFBE47F}">
      <formula1>1</formula1>
      <formula2>45797</formula2>
    </dataValidation>
    <dataValidation type="textLength" allowBlank="1" showInputMessage="1" showErrorMessage="1" errorTitle="Invalid Column Value" error="Mobile No length must be  between 10 and 10" prompt="Mobile No Length between 10 And 10" sqref="F4:F50" xr:uid="{67BD34B0-DCE9-4A9B-A534-BE120180DB0F}">
      <formula1>10</formula1>
      <formula2>10</formula2>
    </dataValidation>
    <dataValidation type="date" allowBlank="1" showInputMessage="1" showErrorMessage="1" errorTitle="Invalid Column Value" error="Termination Date Date must be between 01-Jan-2000 And 01-Jan-2050" prompt="Termination Date Date between 01-Jan-2000 And 01-Jan-2050" sqref="K4:K50" xr:uid="{3F8B844A-581B-424D-A4D6-E0187D4A28B3}">
      <formula1>36526</formula1>
      <formula2>54789</formula2>
    </dataValidation>
    <dataValidation type="date" allowBlank="1" showInputMessage="1" showErrorMessage="1" errorTitle="Invalid Column Value" error="Birthday Date must be between 01-Jan-1900 And 20-May-2010" prompt="Birthday Date between 01-Jan-1900 And 20-May-2010" sqref="L4:L50" xr:uid="{D4C348B5-0AF3-4039-A175-C6C3A7D89BC3}">
      <formula1>1</formula1>
      <formula2>40318</formula2>
    </dataValidation>
    <dataValidation type="textLength" operator="lessThanOrEqual" allowBlank="1" showInputMessage="1" showErrorMessage="1" errorTitle="Invalid Column Value" error="Address Line1 must be 150 characters or less." prompt="Address Line1 Maximum Length is 150" sqref="M4:M50" xr:uid="{090BA889-BE30-4E81-80D2-2140AE331F14}">
      <formula1>150</formula1>
    </dataValidation>
    <dataValidation type="textLength" operator="lessThanOrEqual" allowBlank="1" showInputMessage="1" showErrorMessage="1" errorTitle="Invalid Column Value" error="City Name must be 30 characters or less." prompt="City Name Maximum Length is 30" sqref="N4:N50" xr:uid="{CDF93128-3061-4A65-9F10-882F587A5E71}">
      <formula1>30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6BDE2-9797-4132-979C-37E44A5BF23B}">
  <dimension ref="B2:S48"/>
  <sheetViews>
    <sheetView zoomScaleNormal="100" workbookViewId="0">
      <selection activeCell="M46" sqref="M46"/>
    </sheetView>
  </sheetViews>
  <sheetFormatPr defaultColWidth="9.1796875" defaultRowHeight="11.5" x14ac:dyDescent="0.25"/>
  <cols>
    <col min="1" max="1" width="2" style="1" customWidth="1"/>
    <col min="2" max="2" width="16.36328125" style="1" bestFit="1" customWidth="1"/>
    <col min="3" max="3" width="18" style="1" bestFit="1" customWidth="1"/>
    <col min="4" max="4" width="13.1796875" style="1" bestFit="1" customWidth="1"/>
    <col min="5" max="5" width="21.36328125" style="1" bestFit="1" customWidth="1"/>
    <col min="6" max="6" width="12.90625" style="1" bestFit="1" customWidth="1"/>
    <col min="7" max="7" width="10.7265625" style="1" bestFit="1" customWidth="1"/>
    <col min="8" max="8" width="14.26953125" style="1" bestFit="1" customWidth="1"/>
    <col min="9" max="9" width="14" style="1" bestFit="1" customWidth="1"/>
    <col min="10" max="10" width="22.7265625" style="1" bestFit="1" customWidth="1"/>
    <col min="11" max="11" width="18.1796875" style="1" bestFit="1" customWidth="1"/>
    <col min="12" max="12" width="11.54296875" style="1" bestFit="1" customWidth="1"/>
    <col min="13" max="13" width="55.7265625" style="1" bestFit="1" customWidth="1"/>
    <col min="14" max="14" width="19.54296875" style="1" bestFit="1" customWidth="1"/>
    <col min="15" max="15" width="35.54296875" style="1" bestFit="1" customWidth="1"/>
    <col min="16" max="16" width="28.54296875" style="1" bestFit="1" customWidth="1"/>
    <col min="17" max="17" width="18.1796875" style="1" bestFit="1" customWidth="1"/>
    <col min="18" max="18" width="20" style="1" bestFit="1" customWidth="1"/>
    <col min="19" max="19" width="19.08984375" style="1" bestFit="1" customWidth="1"/>
    <col min="20" max="16384" width="9.1796875" style="1"/>
  </cols>
  <sheetData>
    <row r="2" spans="2:19" ht="14" x14ac:dyDescent="0.3">
      <c r="B2" s="9">
        <v>45717</v>
      </c>
    </row>
    <row r="3" spans="2:19" ht="12" x14ac:dyDescent="0.25"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788</v>
      </c>
      <c r="J3" s="8" t="s">
        <v>8</v>
      </c>
      <c r="K3" s="8" t="s">
        <v>9</v>
      </c>
      <c r="L3" s="8" t="s">
        <v>10</v>
      </c>
      <c r="M3" s="8" t="s">
        <v>11</v>
      </c>
      <c r="N3" s="8" t="s">
        <v>12</v>
      </c>
      <c r="O3" s="8" t="s">
        <v>13</v>
      </c>
      <c r="P3" s="8" t="s">
        <v>14</v>
      </c>
      <c r="Q3" s="8" t="s">
        <v>790</v>
      </c>
      <c r="R3" s="8" t="s">
        <v>15</v>
      </c>
      <c r="S3" s="8" t="s">
        <v>16</v>
      </c>
    </row>
    <row r="4" spans="2:19" ht="12" x14ac:dyDescent="0.25">
      <c r="B4" s="3" t="s">
        <v>562</v>
      </c>
      <c r="C4" s="3" t="s">
        <v>563</v>
      </c>
      <c r="D4" s="3" t="s">
        <v>564</v>
      </c>
      <c r="E4" s="3" t="s">
        <v>565</v>
      </c>
      <c r="F4" s="3" t="s">
        <v>566</v>
      </c>
      <c r="G4" s="3" t="s">
        <v>17</v>
      </c>
      <c r="H4" s="4">
        <v>44876</v>
      </c>
      <c r="I4" s="3" t="s">
        <v>18</v>
      </c>
      <c r="J4" s="5" t="s">
        <v>45</v>
      </c>
      <c r="K4" s="4">
        <v>45746</v>
      </c>
      <c r="L4" s="4">
        <v>35612</v>
      </c>
      <c r="M4" s="3" t="s">
        <v>567</v>
      </c>
      <c r="N4" s="3" t="s">
        <v>322</v>
      </c>
      <c r="O4" s="6" t="s">
        <v>39</v>
      </c>
      <c r="P4" s="6" t="s">
        <v>792</v>
      </c>
      <c r="Q4" s="6" t="s">
        <v>792</v>
      </c>
      <c r="R4" s="6" t="s">
        <v>792</v>
      </c>
      <c r="S4" s="6" t="s">
        <v>792</v>
      </c>
    </row>
    <row r="5" spans="2:19" ht="12" x14ac:dyDescent="0.25">
      <c r="B5" s="3" t="s">
        <v>568</v>
      </c>
      <c r="C5" s="3" t="s">
        <v>569</v>
      </c>
      <c r="D5" s="3" t="s">
        <v>570</v>
      </c>
      <c r="E5" s="3" t="s">
        <v>571</v>
      </c>
      <c r="F5" s="3" t="s">
        <v>572</v>
      </c>
      <c r="G5" s="3" t="s">
        <v>17</v>
      </c>
      <c r="H5" s="4">
        <v>45246</v>
      </c>
      <c r="I5" s="3" t="s">
        <v>18</v>
      </c>
      <c r="J5" s="5" t="s">
        <v>45</v>
      </c>
      <c r="K5" s="4">
        <v>45743</v>
      </c>
      <c r="L5" s="4">
        <v>34440</v>
      </c>
      <c r="M5" s="3" t="s">
        <v>573</v>
      </c>
      <c r="N5" s="3" t="s">
        <v>574</v>
      </c>
      <c r="O5" s="6" t="s">
        <v>48</v>
      </c>
      <c r="P5" s="6" t="s">
        <v>49</v>
      </c>
      <c r="Q5" s="6">
        <v>3</v>
      </c>
      <c r="R5" s="6" t="s">
        <v>68</v>
      </c>
      <c r="S5" s="6" t="s">
        <v>792</v>
      </c>
    </row>
    <row r="6" spans="2:19" ht="12" x14ac:dyDescent="0.25">
      <c r="B6" s="3" t="s">
        <v>575</v>
      </c>
      <c r="C6" s="3" t="s">
        <v>506</v>
      </c>
      <c r="D6" s="3" t="s">
        <v>576</v>
      </c>
      <c r="E6" s="3" t="s">
        <v>577</v>
      </c>
      <c r="F6" s="3" t="s">
        <v>578</v>
      </c>
      <c r="G6" s="3" t="s">
        <v>17</v>
      </c>
      <c r="H6" s="4">
        <v>45600</v>
      </c>
      <c r="I6" s="3" t="s">
        <v>18</v>
      </c>
      <c r="J6" s="5" t="s">
        <v>93</v>
      </c>
      <c r="K6" s="4">
        <v>45743</v>
      </c>
      <c r="L6" s="4">
        <v>38045</v>
      </c>
      <c r="M6" s="3" t="s">
        <v>555</v>
      </c>
      <c r="N6" s="3" t="s">
        <v>555</v>
      </c>
      <c r="O6" s="6" t="s">
        <v>39</v>
      </c>
      <c r="P6" s="6" t="s">
        <v>792</v>
      </c>
      <c r="Q6" s="6" t="s">
        <v>792</v>
      </c>
      <c r="R6" s="6" t="s">
        <v>792</v>
      </c>
      <c r="S6" s="6" t="s">
        <v>792</v>
      </c>
    </row>
    <row r="7" spans="2:19" ht="12" x14ac:dyDescent="0.25">
      <c r="B7" s="3" t="s">
        <v>579</v>
      </c>
      <c r="C7" s="3" t="s">
        <v>580</v>
      </c>
      <c r="D7" s="3" t="s">
        <v>581</v>
      </c>
      <c r="E7" s="3" t="s">
        <v>582</v>
      </c>
      <c r="F7" s="3" t="s">
        <v>583</v>
      </c>
      <c r="G7" s="3" t="s">
        <v>17</v>
      </c>
      <c r="H7" s="4">
        <v>45425</v>
      </c>
      <c r="I7" s="3" t="s">
        <v>18</v>
      </c>
      <c r="J7" s="5" t="s">
        <v>26</v>
      </c>
      <c r="K7" s="4">
        <v>45742</v>
      </c>
      <c r="L7" s="4">
        <v>37319</v>
      </c>
      <c r="M7" s="3" t="s">
        <v>584</v>
      </c>
      <c r="N7" s="3" t="s">
        <v>585</v>
      </c>
      <c r="O7" s="6" t="s">
        <v>586</v>
      </c>
      <c r="P7" s="6" t="s">
        <v>96</v>
      </c>
      <c r="Q7" s="6">
        <v>3</v>
      </c>
      <c r="R7" s="6" t="s">
        <v>68</v>
      </c>
      <c r="S7" s="6" t="s">
        <v>792</v>
      </c>
    </row>
    <row r="8" spans="2:19" ht="12" x14ac:dyDescent="0.25">
      <c r="B8" s="3" t="s">
        <v>587</v>
      </c>
      <c r="C8" s="3" t="s">
        <v>588</v>
      </c>
      <c r="D8" s="3" t="s">
        <v>186</v>
      </c>
      <c r="E8" s="3" t="s">
        <v>589</v>
      </c>
      <c r="F8" s="3" t="s">
        <v>590</v>
      </c>
      <c r="G8" s="3" t="s">
        <v>17</v>
      </c>
      <c r="H8" s="4">
        <v>45605</v>
      </c>
      <c r="I8" s="3" t="s">
        <v>18</v>
      </c>
      <c r="J8" s="5" t="s">
        <v>36</v>
      </c>
      <c r="K8" s="4">
        <v>45747</v>
      </c>
      <c r="L8" s="4">
        <v>38934</v>
      </c>
      <c r="M8" s="3" t="s">
        <v>591</v>
      </c>
      <c r="N8" s="3" t="s">
        <v>592</v>
      </c>
      <c r="O8" s="6" t="s">
        <v>789</v>
      </c>
      <c r="P8" s="6" t="s">
        <v>792</v>
      </c>
      <c r="Q8" s="6" t="s">
        <v>792</v>
      </c>
      <c r="R8" s="6" t="s">
        <v>792</v>
      </c>
      <c r="S8" s="6" t="s">
        <v>792</v>
      </c>
    </row>
    <row r="9" spans="2:19" ht="12" x14ac:dyDescent="0.25">
      <c r="B9" s="3" t="s">
        <v>593</v>
      </c>
      <c r="C9" s="3" t="s">
        <v>305</v>
      </c>
      <c r="D9" s="3" t="s">
        <v>84</v>
      </c>
      <c r="E9" s="3" t="s">
        <v>594</v>
      </c>
      <c r="F9" s="3" t="s">
        <v>595</v>
      </c>
      <c r="G9" s="3" t="s">
        <v>17</v>
      </c>
      <c r="H9" s="4">
        <v>45611</v>
      </c>
      <c r="I9" s="3" t="s">
        <v>18</v>
      </c>
      <c r="J9" s="5" t="s">
        <v>36</v>
      </c>
      <c r="K9" s="4">
        <v>45722</v>
      </c>
      <c r="L9" s="4">
        <v>37817</v>
      </c>
      <c r="M9" s="3" t="s">
        <v>596</v>
      </c>
      <c r="N9" s="3" t="s">
        <v>596</v>
      </c>
      <c r="O9" s="6" t="s">
        <v>48</v>
      </c>
      <c r="P9" s="6" t="s">
        <v>49</v>
      </c>
      <c r="Q9" s="6">
        <v>4</v>
      </c>
      <c r="R9" s="6" t="s">
        <v>76</v>
      </c>
      <c r="S9" s="6" t="s">
        <v>51</v>
      </c>
    </row>
    <row r="10" spans="2:19" ht="12" x14ac:dyDescent="0.25">
      <c r="B10" s="3" t="s">
        <v>597</v>
      </c>
      <c r="C10" s="3" t="s">
        <v>110</v>
      </c>
      <c r="D10" s="3" t="s">
        <v>124</v>
      </c>
      <c r="E10" s="3" t="s">
        <v>598</v>
      </c>
      <c r="F10" s="3" t="s">
        <v>599</v>
      </c>
      <c r="G10" s="3" t="s">
        <v>25</v>
      </c>
      <c r="H10" s="4">
        <v>44996</v>
      </c>
      <c r="I10" s="3" t="s">
        <v>18</v>
      </c>
      <c r="J10" s="5" t="s">
        <v>45</v>
      </c>
      <c r="K10" s="4">
        <v>45746</v>
      </c>
      <c r="L10" s="4">
        <v>35839</v>
      </c>
      <c r="M10" s="3" t="s">
        <v>600</v>
      </c>
      <c r="N10" s="3" t="s">
        <v>322</v>
      </c>
      <c r="O10" s="6" t="s">
        <v>48</v>
      </c>
      <c r="P10" s="6" t="s">
        <v>49</v>
      </c>
      <c r="Q10" s="6">
        <v>4</v>
      </c>
      <c r="R10" s="6" t="s">
        <v>76</v>
      </c>
      <c r="S10" s="6" t="s">
        <v>51</v>
      </c>
    </row>
    <row r="11" spans="2:19" ht="12" x14ac:dyDescent="0.25">
      <c r="B11" s="3" t="s">
        <v>601</v>
      </c>
      <c r="C11" s="3" t="s">
        <v>602</v>
      </c>
      <c r="D11" s="3" t="s">
        <v>33</v>
      </c>
      <c r="E11" s="3" t="s">
        <v>603</v>
      </c>
      <c r="F11" s="3" t="s">
        <v>604</v>
      </c>
      <c r="G11" s="3" t="s">
        <v>17</v>
      </c>
      <c r="H11" s="4">
        <v>45397</v>
      </c>
      <c r="I11" s="3" t="s">
        <v>18</v>
      </c>
      <c r="J11" s="5" t="s">
        <v>93</v>
      </c>
      <c r="K11" s="4">
        <v>45746</v>
      </c>
      <c r="L11" s="4">
        <v>38214</v>
      </c>
      <c r="M11" s="3" t="s">
        <v>605</v>
      </c>
      <c r="N11" s="3" t="s">
        <v>606</v>
      </c>
      <c r="O11" s="6" t="s">
        <v>39</v>
      </c>
      <c r="P11" s="6" t="s">
        <v>792</v>
      </c>
      <c r="Q11" s="6" t="s">
        <v>792</v>
      </c>
      <c r="R11" s="6" t="s">
        <v>792</v>
      </c>
      <c r="S11" s="6" t="s">
        <v>792</v>
      </c>
    </row>
    <row r="12" spans="2:19" ht="12" x14ac:dyDescent="0.25">
      <c r="B12" s="3" t="s">
        <v>607</v>
      </c>
      <c r="C12" s="3" t="s">
        <v>608</v>
      </c>
      <c r="D12" s="3" t="s">
        <v>609</v>
      </c>
      <c r="E12" s="3" t="s">
        <v>610</v>
      </c>
      <c r="F12" s="3" t="s">
        <v>611</v>
      </c>
      <c r="G12" s="3" t="s">
        <v>17</v>
      </c>
      <c r="H12" s="4">
        <v>45402</v>
      </c>
      <c r="I12" s="3" t="s">
        <v>18</v>
      </c>
      <c r="J12" s="5" t="s">
        <v>26</v>
      </c>
      <c r="K12" s="4">
        <v>45722</v>
      </c>
      <c r="L12" s="4">
        <v>38387</v>
      </c>
      <c r="M12" s="3" t="s">
        <v>584</v>
      </c>
      <c r="N12" s="3" t="s">
        <v>585</v>
      </c>
      <c r="O12" s="6" t="s">
        <v>586</v>
      </c>
      <c r="P12" s="6" t="s">
        <v>96</v>
      </c>
      <c r="Q12" s="6">
        <v>3</v>
      </c>
      <c r="R12" s="6" t="s">
        <v>68</v>
      </c>
      <c r="S12" s="6" t="s">
        <v>792</v>
      </c>
    </row>
    <row r="13" spans="2:19" ht="12" x14ac:dyDescent="0.25">
      <c r="B13" s="3" t="s">
        <v>612</v>
      </c>
      <c r="C13" s="3" t="s">
        <v>613</v>
      </c>
      <c r="D13" s="3" t="s">
        <v>33</v>
      </c>
      <c r="E13" s="3" t="s">
        <v>614</v>
      </c>
      <c r="F13" s="3" t="s">
        <v>615</v>
      </c>
      <c r="G13" s="3" t="s">
        <v>17</v>
      </c>
      <c r="H13" s="4">
        <v>45399</v>
      </c>
      <c r="I13" s="3" t="s">
        <v>18</v>
      </c>
      <c r="J13" s="5" t="s">
        <v>45</v>
      </c>
      <c r="K13" s="4">
        <v>45746</v>
      </c>
      <c r="L13" s="4">
        <v>34159</v>
      </c>
      <c r="M13" s="3" t="s">
        <v>616</v>
      </c>
      <c r="N13" s="3" t="s">
        <v>234</v>
      </c>
      <c r="O13" s="6" t="s">
        <v>39</v>
      </c>
      <c r="P13" s="6" t="s">
        <v>792</v>
      </c>
      <c r="Q13" s="6" t="s">
        <v>792</v>
      </c>
      <c r="R13" s="6" t="s">
        <v>792</v>
      </c>
      <c r="S13" s="6" t="s">
        <v>792</v>
      </c>
    </row>
    <row r="14" spans="2:19" ht="12" x14ac:dyDescent="0.25">
      <c r="B14" s="3" t="s">
        <v>617</v>
      </c>
      <c r="C14" s="3" t="s">
        <v>618</v>
      </c>
      <c r="D14" s="3" t="s">
        <v>42</v>
      </c>
      <c r="E14" s="3" t="s">
        <v>619</v>
      </c>
      <c r="F14" s="3" t="s">
        <v>620</v>
      </c>
      <c r="G14" s="3" t="s">
        <v>25</v>
      </c>
      <c r="H14" s="4">
        <v>45460</v>
      </c>
      <c r="I14" s="3" t="s">
        <v>18</v>
      </c>
      <c r="J14" s="5" t="s">
        <v>93</v>
      </c>
      <c r="K14" s="4">
        <v>45743</v>
      </c>
      <c r="L14" s="4">
        <v>37622</v>
      </c>
      <c r="M14" s="3" t="s">
        <v>621</v>
      </c>
      <c r="N14" s="3" t="s">
        <v>622</v>
      </c>
      <c r="O14" s="6" t="s">
        <v>39</v>
      </c>
      <c r="P14" s="6" t="s">
        <v>792</v>
      </c>
      <c r="Q14" s="6" t="s">
        <v>792</v>
      </c>
      <c r="R14" s="6" t="s">
        <v>792</v>
      </c>
      <c r="S14" s="6" t="s">
        <v>792</v>
      </c>
    </row>
    <row r="15" spans="2:19" ht="12" x14ac:dyDescent="0.25">
      <c r="B15" s="3" t="s">
        <v>623</v>
      </c>
      <c r="C15" s="3" t="s">
        <v>624</v>
      </c>
      <c r="D15" s="3" t="s">
        <v>42</v>
      </c>
      <c r="E15" s="3" t="s">
        <v>625</v>
      </c>
      <c r="F15" s="3" t="s">
        <v>626</v>
      </c>
      <c r="G15" s="3" t="s">
        <v>25</v>
      </c>
      <c r="H15" s="4">
        <v>45511</v>
      </c>
      <c r="I15" s="3" t="s">
        <v>18</v>
      </c>
      <c r="J15" s="5" t="s">
        <v>93</v>
      </c>
      <c r="K15" s="4">
        <v>45735</v>
      </c>
      <c r="L15" s="4">
        <v>37657</v>
      </c>
      <c r="M15" s="3" t="s">
        <v>627</v>
      </c>
      <c r="N15" s="3" t="s">
        <v>628</v>
      </c>
      <c r="O15" s="6" t="s">
        <v>48</v>
      </c>
      <c r="P15" s="6" t="s">
        <v>352</v>
      </c>
      <c r="Q15" s="6">
        <v>4</v>
      </c>
      <c r="R15" s="6" t="s">
        <v>50</v>
      </c>
      <c r="S15" s="6" t="s">
        <v>61</v>
      </c>
    </row>
    <row r="16" spans="2:19" ht="12" x14ac:dyDescent="0.25">
      <c r="B16" s="3" t="s">
        <v>629</v>
      </c>
      <c r="C16" s="3" t="s">
        <v>630</v>
      </c>
      <c r="D16" s="3" t="s">
        <v>33</v>
      </c>
      <c r="E16" s="3" t="s">
        <v>631</v>
      </c>
      <c r="F16" s="3" t="s">
        <v>632</v>
      </c>
      <c r="G16" s="3" t="s">
        <v>17</v>
      </c>
      <c r="H16" s="4">
        <v>45568</v>
      </c>
      <c r="I16" s="3" t="s">
        <v>18</v>
      </c>
      <c r="J16" s="5" t="s">
        <v>45</v>
      </c>
      <c r="K16" s="4">
        <v>45724</v>
      </c>
      <c r="L16" s="4">
        <v>38043</v>
      </c>
      <c r="M16" s="3" t="s">
        <v>633</v>
      </c>
      <c r="N16" s="3" t="s">
        <v>634</v>
      </c>
      <c r="O16" s="6" t="s">
        <v>48</v>
      </c>
      <c r="P16" s="6" t="s">
        <v>49</v>
      </c>
      <c r="Q16" s="6">
        <v>4</v>
      </c>
      <c r="R16" s="6" t="s">
        <v>50</v>
      </c>
      <c r="S16" s="6" t="s">
        <v>51</v>
      </c>
    </row>
    <row r="17" spans="2:19" ht="12" x14ac:dyDescent="0.25">
      <c r="B17" s="3" t="s">
        <v>635</v>
      </c>
      <c r="C17" s="3" t="s">
        <v>636</v>
      </c>
      <c r="D17" s="3" t="s">
        <v>33</v>
      </c>
      <c r="E17" s="3" t="s">
        <v>637</v>
      </c>
      <c r="F17" s="3" t="s">
        <v>638</v>
      </c>
      <c r="G17" s="3" t="s">
        <v>17</v>
      </c>
      <c r="H17" s="4">
        <v>45616</v>
      </c>
      <c r="I17" s="3" t="s">
        <v>18</v>
      </c>
      <c r="J17" s="5" t="s">
        <v>45</v>
      </c>
      <c r="K17" s="4">
        <v>45724</v>
      </c>
      <c r="L17" s="4">
        <v>38112</v>
      </c>
      <c r="M17" s="3" t="s">
        <v>639</v>
      </c>
      <c r="N17" s="3" t="s">
        <v>253</v>
      </c>
      <c r="O17" s="6" t="s">
        <v>39</v>
      </c>
      <c r="P17" s="6" t="s">
        <v>792</v>
      </c>
      <c r="Q17" s="6" t="s">
        <v>792</v>
      </c>
      <c r="R17" s="6" t="s">
        <v>792</v>
      </c>
      <c r="S17" s="6" t="s">
        <v>792</v>
      </c>
    </row>
    <row r="18" spans="2:19" ht="12" x14ac:dyDescent="0.25">
      <c r="B18" s="3" t="s">
        <v>640</v>
      </c>
      <c r="C18" s="3" t="s">
        <v>641</v>
      </c>
      <c r="D18" s="3" t="s">
        <v>33</v>
      </c>
      <c r="E18" s="3" t="s">
        <v>642</v>
      </c>
      <c r="F18" s="3" t="s">
        <v>643</v>
      </c>
      <c r="G18" s="3" t="s">
        <v>17</v>
      </c>
      <c r="H18" s="4">
        <v>45618</v>
      </c>
      <c r="I18" s="3" t="s">
        <v>18</v>
      </c>
      <c r="J18" s="5" t="s">
        <v>45</v>
      </c>
      <c r="K18" s="4">
        <v>45736</v>
      </c>
      <c r="L18" s="4">
        <v>37759</v>
      </c>
      <c r="M18" s="3" t="s">
        <v>644</v>
      </c>
      <c r="N18" s="3" t="s">
        <v>645</v>
      </c>
      <c r="O18" s="6" t="s">
        <v>850</v>
      </c>
      <c r="P18" s="6" t="s">
        <v>176</v>
      </c>
      <c r="Q18" s="6">
        <v>3</v>
      </c>
      <c r="R18" s="6" t="s">
        <v>68</v>
      </c>
      <c r="S18" s="6" t="s">
        <v>792</v>
      </c>
    </row>
    <row r="19" spans="2:19" ht="12" x14ac:dyDescent="0.25">
      <c r="B19" s="3" t="s">
        <v>646</v>
      </c>
      <c r="C19" s="3" t="s">
        <v>647</v>
      </c>
      <c r="D19" s="3" t="s">
        <v>42</v>
      </c>
      <c r="E19" s="3" t="s">
        <v>648</v>
      </c>
      <c r="F19" s="3" t="s">
        <v>649</v>
      </c>
      <c r="G19" s="3" t="s">
        <v>25</v>
      </c>
      <c r="H19" s="4">
        <v>45602</v>
      </c>
      <c r="I19" s="3" t="s">
        <v>18</v>
      </c>
      <c r="J19" s="5" t="s">
        <v>93</v>
      </c>
      <c r="K19" s="4">
        <v>45719</v>
      </c>
      <c r="L19" s="4">
        <v>38353</v>
      </c>
      <c r="M19" s="3" t="s">
        <v>650</v>
      </c>
      <c r="N19" s="3" t="s">
        <v>651</v>
      </c>
      <c r="O19" s="6" t="s">
        <v>48</v>
      </c>
      <c r="P19" s="6" t="s">
        <v>49</v>
      </c>
      <c r="Q19" s="6">
        <v>4</v>
      </c>
      <c r="R19" s="6" t="s">
        <v>76</v>
      </c>
      <c r="S19" s="6" t="s">
        <v>51</v>
      </c>
    </row>
    <row r="20" spans="2:19" ht="12" x14ac:dyDescent="0.25">
      <c r="B20" s="3" t="s">
        <v>652</v>
      </c>
      <c r="C20" s="3" t="s">
        <v>653</v>
      </c>
      <c r="D20" s="3" t="s">
        <v>654</v>
      </c>
      <c r="E20" s="3" t="s">
        <v>655</v>
      </c>
      <c r="F20" s="3" t="s">
        <v>656</v>
      </c>
      <c r="G20" s="3" t="s">
        <v>17</v>
      </c>
      <c r="H20" s="4">
        <v>45614</v>
      </c>
      <c r="I20" s="3" t="s">
        <v>18</v>
      </c>
      <c r="J20" s="5" t="s">
        <v>36</v>
      </c>
      <c r="K20" s="4">
        <v>45724</v>
      </c>
      <c r="L20" s="4">
        <v>38180</v>
      </c>
      <c r="M20" s="3" t="s">
        <v>657</v>
      </c>
      <c r="N20" s="3" t="s">
        <v>285</v>
      </c>
      <c r="O20" s="6" t="s">
        <v>48</v>
      </c>
      <c r="P20" s="6" t="s">
        <v>658</v>
      </c>
      <c r="Q20" s="6" t="s">
        <v>792</v>
      </c>
      <c r="R20" s="6" t="s">
        <v>76</v>
      </c>
      <c r="S20" s="6" t="s">
        <v>51</v>
      </c>
    </row>
    <row r="21" spans="2:19" ht="12" x14ac:dyDescent="0.25">
      <c r="B21" s="3" t="s">
        <v>659</v>
      </c>
      <c r="C21" s="3" t="s">
        <v>660</v>
      </c>
      <c r="D21" s="3" t="s">
        <v>33</v>
      </c>
      <c r="E21" s="3" t="s">
        <v>661</v>
      </c>
      <c r="F21" s="3" t="s">
        <v>662</v>
      </c>
      <c r="G21" s="3" t="s">
        <v>17</v>
      </c>
      <c r="H21" s="4">
        <v>45633</v>
      </c>
      <c r="I21" s="3" t="s">
        <v>18</v>
      </c>
      <c r="J21" s="5" t="s">
        <v>45</v>
      </c>
      <c r="K21" s="4">
        <v>45717</v>
      </c>
      <c r="L21" s="4">
        <v>36571</v>
      </c>
      <c r="M21" s="3" t="s">
        <v>663</v>
      </c>
      <c r="N21" s="3" t="s">
        <v>88</v>
      </c>
      <c r="O21" s="6" t="s">
        <v>48</v>
      </c>
      <c r="P21" s="6" t="s">
        <v>352</v>
      </c>
      <c r="Q21" s="6">
        <v>4</v>
      </c>
      <c r="R21" s="6" t="s">
        <v>50</v>
      </c>
      <c r="S21" s="6" t="s">
        <v>51</v>
      </c>
    </row>
    <row r="22" spans="2:19" ht="12" x14ac:dyDescent="0.25">
      <c r="B22" s="3" t="s">
        <v>664</v>
      </c>
      <c r="C22" s="3" t="s">
        <v>665</v>
      </c>
      <c r="D22" s="3" t="s">
        <v>84</v>
      </c>
      <c r="E22" s="3" t="s">
        <v>666</v>
      </c>
      <c r="F22" s="3" t="s">
        <v>667</v>
      </c>
      <c r="G22" s="3" t="s">
        <v>17</v>
      </c>
      <c r="H22" s="4">
        <v>45636</v>
      </c>
      <c r="I22" s="3" t="s">
        <v>18</v>
      </c>
      <c r="J22" s="5" t="s">
        <v>93</v>
      </c>
      <c r="K22" s="4">
        <v>45728</v>
      </c>
      <c r="L22" s="4">
        <v>35800</v>
      </c>
      <c r="M22" s="3" t="s">
        <v>138</v>
      </c>
      <c r="N22" s="3" t="s">
        <v>139</v>
      </c>
      <c r="O22" s="6" t="s">
        <v>39</v>
      </c>
      <c r="P22" s="6" t="s">
        <v>792</v>
      </c>
      <c r="Q22" s="6" t="s">
        <v>792</v>
      </c>
      <c r="R22" s="6" t="s">
        <v>792</v>
      </c>
      <c r="S22" s="6" t="s">
        <v>792</v>
      </c>
    </row>
    <row r="23" spans="2:19" ht="12" x14ac:dyDescent="0.25">
      <c r="B23" s="3" t="s">
        <v>668</v>
      </c>
      <c r="C23" s="3" t="s">
        <v>669</v>
      </c>
      <c r="D23" s="3" t="s">
        <v>42</v>
      </c>
      <c r="E23" s="3" t="s">
        <v>670</v>
      </c>
      <c r="F23" s="3" t="s">
        <v>671</v>
      </c>
      <c r="G23" s="3" t="s">
        <v>17</v>
      </c>
      <c r="H23" s="4">
        <v>45641</v>
      </c>
      <c r="I23" s="3" t="s">
        <v>18</v>
      </c>
      <c r="J23" s="5" t="s">
        <v>26</v>
      </c>
      <c r="K23" s="4">
        <v>45722</v>
      </c>
      <c r="L23" s="4">
        <v>38353</v>
      </c>
      <c r="M23" s="3" t="s">
        <v>672</v>
      </c>
      <c r="N23" s="3" t="s">
        <v>265</v>
      </c>
      <c r="O23" s="6" t="s">
        <v>789</v>
      </c>
      <c r="P23" s="6" t="s">
        <v>792</v>
      </c>
      <c r="Q23" s="6" t="s">
        <v>792</v>
      </c>
      <c r="R23" s="6" t="s">
        <v>792</v>
      </c>
      <c r="S23" s="6" t="s">
        <v>792</v>
      </c>
    </row>
    <row r="24" spans="2:19" ht="12" x14ac:dyDescent="0.25">
      <c r="B24" s="3" t="s">
        <v>673</v>
      </c>
      <c r="C24" s="3" t="s">
        <v>305</v>
      </c>
      <c r="D24" s="3" t="s">
        <v>273</v>
      </c>
      <c r="E24" s="3" t="s">
        <v>674</v>
      </c>
      <c r="F24" s="3" t="s">
        <v>675</v>
      </c>
      <c r="G24" s="3" t="s">
        <v>17</v>
      </c>
      <c r="H24" s="4">
        <v>45636</v>
      </c>
      <c r="I24" s="3" t="s">
        <v>18</v>
      </c>
      <c r="J24" s="5" t="s">
        <v>26</v>
      </c>
      <c r="K24" s="4">
        <v>45742</v>
      </c>
      <c r="L24" s="4">
        <v>35803</v>
      </c>
      <c r="M24" s="3" t="s">
        <v>676</v>
      </c>
      <c r="N24" s="3" t="s">
        <v>677</v>
      </c>
      <c r="O24" s="6" t="s">
        <v>48</v>
      </c>
      <c r="P24" s="6" t="s">
        <v>49</v>
      </c>
      <c r="Q24" s="6">
        <v>4</v>
      </c>
      <c r="R24" s="6" t="s">
        <v>76</v>
      </c>
      <c r="S24" s="6" t="s">
        <v>51</v>
      </c>
    </row>
    <row r="25" spans="2:19" ht="12" x14ac:dyDescent="0.25">
      <c r="B25" s="3" t="s">
        <v>678</v>
      </c>
      <c r="C25" s="3" t="s">
        <v>679</v>
      </c>
      <c r="D25" s="3" t="s">
        <v>680</v>
      </c>
      <c r="E25" s="3" t="s">
        <v>681</v>
      </c>
      <c r="F25" s="3" t="s">
        <v>682</v>
      </c>
      <c r="G25" s="3" t="s">
        <v>25</v>
      </c>
      <c r="H25" s="4">
        <v>45667</v>
      </c>
      <c r="I25" s="3" t="s">
        <v>18</v>
      </c>
      <c r="J25" s="5" t="s">
        <v>57</v>
      </c>
      <c r="K25" s="4">
        <v>45726</v>
      </c>
      <c r="L25" s="4">
        <v>37417</v>
      </c>
      <c r="M25" s="3" t="s">
        <v>683</v>
      </c>
      <c r="N25" s="3" t="s">
        <v>297</v>
      </c>
      <c r="O25" s="6" t="s">
        <v>39</v>
      </c>
      <c r="P25" s="6" t="s">
        <v>792</v>
      </c>
      <c r="Q25" s="6" t="s">
        <v>792</v>
      </c>
      <c r="R25" s="6" t="s">
        <v>792</v>
      </c>
      <c r="S25" s="6" t="s">
        <v>792</v>
      </c>
    </row>
    <row r="26" spans="2:19" ht="12" x14ac:dyDescent="0.25">
      <c r="B26" s="3" t="s">
        <v>684</v>
      </c>
      <c r="C26" s="3" t="s">
        <v>685</v>
      </c>
      <c r="D26" s="3" t="s">
        <v>186</v>
      </c>
      <c r="E26" s="3" t="s">
        <v>686</v>
      </c>
      <c r="F26" s="3" t="s">
        <v>687</v>
      </c>
      <c r="G26" s="3" t="s">
        <v>17</v>
      </c>
      <c r="H26" s="4">
        <v>45664</v>
      </c>
      <c r="I26" s="3" t="s">
        <v>18</v>
      </c>
      <c r="J26" s="5" t="s">
        <v>36</v>
      </c>
      <c r="K26" s="4">
        <v>45746</v>
      </c>
      <c r="L26" s="4">
        <v>38183</v>
      </c>
      <c r="M26" s="3" t="s">
        <v>688</v>
      </c>
      <c r="N26" s="3" t="s">
        <v>285</v>
      </c>
      <c r="O26" s="6" t="s">
        <v>48</v>
      </c>
      <c r="P26" s="6" t="s">
        <v>791</v>
      </c>
      <c r="Q26" s="6">
        <v>5</v>
      </c>
      <c r="R26" s="6" t="s">
        <v>50</v>
      </c>
      <c r="S26" s="6" t="s">
        <v>51</v>
      </c>
    </row>
    <row r="27" spans="2:19" ht="12" x14ac:dyDescent="0.25">
      <c r="B27" s="3" t="s">
        <v>689</v>
      </c>
      <c r="C27" s="3" t="s">
        <v>690</v>
      </c>
      <c r="D27" s="3" t="s">
        <v>42</v>
      </c>
      <c r="E27" s="3" t="s">
        <v>691</v>
      </c>
      <c r="F27" s="3" t="s">
        <v>692</v>
      </c>
      <c r="G27" s="3" t="s">
        <v>25</v>
      </c>
      <c r="H27" s="4">
        <v>45666</v>
      </c>
      <c r="I27" s="3" t="s">
        <v>18</v>
      </c>
      <c r="J27" s="5" t="s">
        <v>93</v>
      </c>
      <c r="K27" s="4">
        <v>45717</v>
      </c>
      <c r="L27" s="4">
        <v>36910</v>
      </c>
      <c r="M27" s="3" t="s">
        <v>693</v>
      </c>
      <c r="N27" s="3" t="s">
        <v>139</v>
      </c>
      <c r="O27" s="6" t="s">
        <v>48</v>
      </c>
      <c r="P27" s="6" t="s">
        <v>352</v>
      </c>
      <c r="Q27" s="6">
        <v>4</v>
      </c>
      <c r="R27" s="6" t="s">
        <v>68</v>
      </c>
      <c r="S27" s="6" t="s">
        <v>51</v>
      </c>
    </row>
    <row r="28" spans="2:19" ht="12" x14ac:dyDescent="0.25">
      <c r="B28" s="3" t="s">
        <v>694</v>
      </c>
      <c r="C28" s="3" t="s">
        <v>695</v>
      </c>
      <c r="D28" s="3" t="s">
        <v>186</v>
      </c>
      <c r="E28" s="3" t="s">
        <v>696</v>
      </c>
      <c r="F28" s="3" t="s">
        <v>697</v>
      </c>
      <c r="G28" s="3" t="s">
        <v>17</v>
      </c>
      <c r="H28" s="4">
        <v>45664</v>
      </c>
      <c r="I28" s="3" t="s">
        <v>18</v>
      </c>
      <c r="J28" s="5" t="s">
        <v>45</v>
      </c>
      <c r="K28" s="4">
        <v>45726</v>
      </c>
      <c r="L28" s="4">
        <v>34424</v>
      </c>
      <c r="M28" s="3" t="s">
        <v>698</v>
      </c>
      <c r="N28" s="3" t="s">
        <v>88</v>
      </c>
      <c r="O28" s="6" t="s">
        <v>850</v>
      </c>
      <c r="P28" s="6" t="s">
        <v>176</v>
      </c>
      <c r="Q28" s="6">
        <v>2</v>
      </c>
      <c r="R28" s="6" t="s">
        <v>68</v>
      </c>
      <c r="S28" s="6" t="s">
        <v>792</v>
      </c>
    </row>
    <row r="29" spans="2:19" ht="12" x14ac:dyDescent="0.25">
      <c r="B29" s="3" t="s">
        <v>699</v>
      </c>
      <c r="C29" s="3" t="s">
        <v>700</v>
      </c>
      <c r="D29" s="3" t="s">
        <v>33</v>
      </c>
      <c r="E29" s="3" t="s">
        <v>701</v>
      </c>
      <c r="F29" s="3" t="s">
        <v>702</v>
      </c>
      <c r="G29" s="3" t="s">
        <v>17</v>
      </c>
      <c r="H29" s="4">
        <v>45604</v>
      </c>
      <c r="I29" s="3" t="s">
        <v>18</v>
      </c>
      <c r="J29" s="5" t="s">
        <v>45</v>
      </c>
      <c r="K29" s="4">
        <v>45738</v>
      </c>
      <c r="L29" s="4">
        <v>36814</v>
      </c>
      <c r="M29" s="3" t="s">
        <v>703</v>
      </c>
      <c r="N29" s="3" t="s">
        <v>704</v>
      </c>
      <c r="O29" s="6" t="s">
        <v>39</v>
      </c>
      <c r="P29" s="6" t="s">
        <v>792</v>
      </c>
      <c r="Q29" s="6" t="s">
        <v>792</v>
      </c>
      <c r="R29" s="6" t="s">
        <v>792</v>
      </c>
      <c r="S29" s="6" t="s">
        <v>792</v>
      </c>
    </row>
    <row r="30" spans="2:19" ht="12" x14ac:dyDescent="0.25">
      <c r="B30" s="3" t="s">
        <v>705</v>
      </c>
      <c r="C30" s="3" t="s">
        <v>706</v>
      </c>
      <c r="D30" s="3" t="s">
        <v>707</v>
      </c>
      <c r="E30" s="3" t="s">
        <v>708</v>
      </c>
      <c r="F30" s="3" t="s">
        <v>709</v>
      </c>
      <c r="G30" s="3" t="s">
        <v>17</v>
      </c>
      <c r="H30" s="4">
        <v>45672</v>
      </c>
      <c r="I30" s="3" t="s">
        <v>18</v>
      </c>
      <c r="J30" s="5" t="s">
        <v>36</v>
      </c>
      <c r="K30" s="4">
        <v>45745</v>
      </c>
      <c r="L30" s="4">
        <v>38117</v>
      </c>
      <c r="M30" s="3" t="s">
        <v>710</v>
      </c>
      <c r="N30" s="3" t="s">
        <v>711</v>
      </c>
      <c r="O30" s="6" t="s">
        <v>39</v>
      </c>
      <c r="P30" s="6" t="s">
        <v>792</v>
      </c>
      <c r="Q30" s="6" t="s">
        <v>792</v>
      </c>
      <c r="R30" s="6" t="s">
        <v>792</v>
      </c>
      <c r="S30" s="6" t="s">
        <v>792</v>
      </c>
    </row>
    <row r="31" spans="2:19" ht="12" x14ac:dyDescent="0.25">
      <c r="B31" s="3" t="s">
        <v>712</v>
      </c>
      <c r="C31" s="3" t="s">
        <v>713</v>
      </c>
      <c r="D31" s="3"/>
      <c r="E31" s="3" t="s">
        <v>714</v>
      </c>
      <c r="F31" s="3" t="s">
        <v>715</v>
      </c>
      <c r="G31" s="3" t="s">
        <v>17</v>
      </c>
      <c r="H31" s="4">
        <v>45707</v>
      </c>
      <c r="I31" s="3" t="s">
        <v>18</v>
      </c>
      <c r="J31" s="5" t="s">
        <v>45</v>
      </c>
      <c r="K31" s="4">
        <v>45737</v>
      </c>
      <c r="L31" s="4">
        <v>30507</v>
      </c>
      <c r="M31" s="3" t="s">
        <v>716</v>
      </c>
      <c r="N31" s="3" t="s">
        <v>717</v>
      </c>
      <c r="O31" s="6" t="s">
        <v>48</v>
      </c>
      <c r="P31" s="6" t="s">
        <v>352</v>
      </c>
      <c r="Q31" s="6">
        <v>3</v>
      </c>
      <c r="R31" s="6" t="s">
        <v>68</v>
      </c>
      <c r="S31" s="6" t="s">
        <v>792</v>
      </c>
    </row>
    <row r="32" spans="2:19" ht="12" x14ac:dyDescent="0.25">
      <c r="B32" s="3" t="s">
        <v>718</v>
      </c>
      <c r="C32" s="3" t="s">
        <v>719</v>
      </c>
      <c r="D32" s="3"/>
      <c r="E32" s="3" t="s">
        <v>720</v>
      </c>
      <c r="F32" s="3" t="s">
        <v>721</v>
      </c>
      <c r="G32" s="3" t="s">
        <v>17</v>
      </c>
      <c r="H32" s="4">
        <v>45707</v>
      </c>
      <c r="I32" s="3" t="s">
        <v>18</v>
      </c>
      <c r="J32" s="5" t="s">
        <v>93</v>
      </c>
      <c r="K32" s="4">
        <v>45739</v>
      </c>
      <c r="L32" s="4">
        <v>30142</v>
      </c>
      <c r="M32" s="3" t="s">
        <v>722</v>
      </c>
      <c r="N32" s="3" t="s">
        <v>297</v>
      </c>
      <c r="O32" s="6" t="s">
        <v>789</v>
      </c>
      <c r="P32" s="6" t="s">
        <v>792</v>
      </c>
      <c r="Q32" s="6" t="s">
        <v>792</v>
      </c>
      <c r="R32" s="6" t="s">
        <v>792</v>
      </c>
      <c r="S32" s="6" t="s">
        <v>792</v>
      </c>
    </row>
    <row r="33" spans="2:19" ht="12" x14ac:dyDescent="0.25">
      <c r="B33" s="3" t="s">
        <v>723</v>
      </c>
      <c r="C33" s="3" t="s">
        <v>724</v>
      </c>
      <c r="D33" s="3"/>
      <c r="E33" s="3" t="s">
        <v>725</v>
      </c>
      <c r="F33" s="3" t="s">
        <v>726</v>
      </c>
      <c r="G33" s="3" t="s">
        <v>17</v>
      </c>
      <c r="H33" s="4">
        <v>45705</v>
      </c>
      <c r="I33" s="3" t="s">
        <v>18</v>
      </c>
      <c r="J33" s="5" t="s">
        <v>36</v>
      </c>
      <c r="K33" s="4">
        <v>45724</v>
      </c>
      <c r="L33" s="4">
        <v>38475</v>
      </c>
      <c r="M33" s="3" t="s">
        <v>727</v>
      </c>
      <c r="N33" s="3" t="s">
        <v>728</v>
      </c>
      <c r="O33" s="6" t="s">
        <v>48</v>
      </c>
      <c r="P33" s="6" t="s">
        <v>49</v>
      </c>
      <c r="Q33" s="6">
        <v>5</v>
      </c>
      <c r="R33" s="6" t="s">
        <v>50</v>
      </c>
      <c r="S33" s="6" t="s">
        <v>51</v>
      </c>
    </row>
    <row r="34" spans="2:19" ht="12" x14ac:dyDescent="0.25">
      <c r="B34" s="3" t="s">
        <v>729</v>
      </c>
      <c r="C34" s="3" t="s">
        <v>730</v>
      </c>
      <c r="D34" s="3"/>
      <c r="E34" s="3" t="s">
        <v>731</v>
      </c>
      <c r="F34" s="3" t="s">
        <v>732</v>
      </c>
      <c r="G34" s="3" t="s">
        <v>17</v>
      </c>
      <c r="H34" s="4">
        <v>45705</v>
      </c>
      <c r="I34" s="3" t="s">
        <v>18</v>
      </c>
      <c r="J34" s="5" t="s">
        <v>36</v>
      </c>
      <c r="K34" s="4">
        <v>45725</v>
      </c>
      <c r="L34" s="4">
        <v>36812</v>
      </c>
      <c r="M34" s="3" t="s">
        <v>733</v>
      </c>
      <c r="N34" s="3" t="s">
        <v>285</v>
      </c>
      <c r="O34" s="6" t="s">
        <v>48</v>
      </c>
      <c r="P34" s="6" t="s">
        <v>49</v>
      </c>
      <c r="Q34" s="6">
        <v>5</v>
      </c>
      <c r="R34" s="6" t="s">
        <v>50</v>
      </c>
      <c r="S34" s="6" t="s">
        <v>61</v>
      </c>
    </row>
    <row r="35" spans="2:19" ht="12" x14ac:dyDescent="0.25">
      <c r="B35" s="3" t="s">
        <v>734</v>
      </c>
      <c r="C35" s="3" t="s">
        <v>735</v>
      </c>
      <c r="D35" s="3"/>
      <c r="E35" s="3" t="s">
        <v>242</v>
      </c>
      <c r="F35" s="3" t="s">
        <v>736</v>
      </c>
      <c r="G35" s="3" t="s">
        <v>25</v>
      </c>
      <c r="H35" s="4">
        <v>45734</v>
      </c>
      <c r="I35" s="3" t="s">
        <v>18</v>
      </c>
      <c r="J35" s="5" t="s">
        <v>36</v>
      </c>
      <c r="K35" s="4">
        <v>45746</v>
      </c>
      <c r="L35" s="4">
        <v>38446</v>
      </c>
      <c r="M35" s="3" t="s">
        <v>737</v>
      </c>
      <c r="N35" s="3" t="s">
        <v>738</v>
      </c>
      <c r="O35" s="6" t="s">
        <v>39</v>
      </c>
      <c r="P35" s="6" t="s">
        <v>792</v>
      </c>
      <c r="Q35" s="6" t="s">
        <v>792</v>
      </c>
      <c r="R35" s="6" t="s">
        <v>792</v>
      </c>
      <c r="S35" s="6" t="s">
        <v>792</v>
      </c>
    </row>
    <row r="36" spans="2:19" ht="12" x14ac:dyDescent="0.25">
      <c r="B36" s="3" t="s">
        <v>739</v>
      </c>
      <c r="C36" s="3" t="s">
        <v>740</v>
      </c>
      <c r="D36" s="3"/>
      <c r="E36" s="3" t="s">
        <v>741</v>
      </c>
      <c r="F36" s="3" t="s">
        <v>742</v>
      </c>
      <c r="G36" s="3" t="s">
        <v>25</v>
      </c>
      <c r="H36" s="4">
        <v>45726</v>
      </c>
      <c r="I36" s="3" t="s">
        <v>18</v>
      </c>
      <c r="J36" s="5" t="s">
        <v>57</v>
      </c>
      <c r="K36" s="4">
        <v>45744</v>
      </c>
      <c r="L36" s="4">
        <v>33182</v>
      </c>
      <c r="M36" s="3" t="s">
        <v>743</v>
      </c>
      <c r="N36" s="3" t="s">
        <v>743</v>
      </c>
      <c r="O36" s="6" t="s">
        <v>789</v>
      </c>
      <c r="P36" s="6" t="s">
        <v>792</v>
      </c>
      <c r="Q36" s="6" t="s">
        <v>792</v>
      </c>
      <c r="R36" s="6" t="s">
        <v>792</v>
      </c>
      <c r="S36" s="6" t="s">
        <v>792</v>
      </c>
    </row>
    <row r="37" spans="2:19" ht="12" x14ac:dyDescent="0.25">
      <c r="B37" s="3" t="s">
        <v>744</v>
      </c>
      <c r="C37" s="3" t="s">
        <v>506</v>
      </c>
      <c r="D37" s="3"/>
      <c r="E37" s="3" t="s">
        <v>745</v>
      </c>
      <c r="F37" s="3" t="s">
        <v>746</v>
      </c>
      <c r="G37" s="3" t="s">
        <v>17</v>
      </c>
      <c r="H37" s="4">
        <v>45736</v>
      </c>
      <c r="I37" s="3" t="s">
        <v>18</v>
      </c>
      <c r="J37" s="5" t="s">
        <v>57</v>
      </c>
      <c r="K37" s="4">
        <v>45746</v>
      </c>
      <c r="L37" s="4">
        <v>36950</v>
      </c>
      <c r="M37" s="3" t="s">
        <v>747</v>
      </c>
      <c r="N37" s="3" t="s">
        <v>748</v>
      </c>
      <c r="O37" s="6" t="s">
        <v>39</v>
      </c>
      <c r="P37" s="6" t="s">
        <v>792</v>
      </c>
      <c r="Q37" s="6" t="s">
        <v>792</v>
      </c>
      <c r="R37" s="6" t="s">
        <v>792</v>
      </c>
      <c r="S37" s="6" t="s">
        <v>792</v>
      </c>
    </row>
    <row r="38" spans="2:19" ht="12" x14ac:dyDescent="0.25">
      <c r="B38" s="3" t="s">
        <v>749</v>
      </c>
      <c r="C38" s="3" t="s">
        <v>679</v>
      </c>
      <c r="D38" s="3"/>
      <c r="E38" s="3" t="s">
        <v>750</v>
      </c>
      <c r="F38" s="3" t="s">
        <v>751</v>
      </c>
      <c r="G38" s="3" t="s">
        <v>25</v>
      </c>
      <c r="H38" s="4">
        <v>45736</v>
      </c>
      <c r="I38" s="3" t="s">
        <v>18</v>
      </c>
      <c r="J38" s="5" t="s">
        <v>57</v>
      </c>
      <c r="K38" s="4">
        <v>45745</v>
      </c>
      <c r="L38" s="4">
        <v>38984</v>
      </c>
      <c r="M38" s="3" t="s">
        <v>752</v>
      </c>
      <c r="N38" s="3" t="s">
        <v>753</v>
      </c>
      <c r="O38" s="6" t="s">
        <v>48</v>
      </c>
      <c r="P38" s="6" t="s">
        <v>352</v>
      </c>
      <c r="Q38" s="6">
        <v>3</v>
      </c>
      <c r="R38" s="6" t="s">
        <v>68</v>
      </c>
      <c r="S38" s="6" t="s">
        <v>792</v>
      </c>
    </row>
    <row r="39" spans="2:19" ht="12" x14ac:dyDescent="0.25">
      <c r="B39" s="3" t="s">
        <v>754</v>
      </c>
      <c r="C39" s="3" t="s">
        <v>755</v>
      </c>
      <c r="D39" s="3"/>
      <c r="E39" s="3" t="s">
        <v>756</v>
      </c>
      <c r="F39" s="3" t="s">
        <v>757</v>
      </c>
      <c r="G39" s="3" t="s">
        <v>17</v>
      </c>
      <c r="H39" s="4">
        <v>45723</v>
      </c>
      <c r="I39" s="3" t="s">
        <v>18</v>
      </c>
      <c r="J39" s="5" t="s">
        <v>26</v>
      </c>
      <c r="K39" s="4">
        <v>45739</v>
      </c>
      <c r="L39" s="4">
        <v>37987</v>
      </c>
      <c r="M39" s="3" t="s">
        <v>758</v>
      </c>
      <c r="N39" s="3" t="s">
        <v>253</v>
      </c>
      <c r="O39" s="6" t="s">
        <v>789</v>
      </c>
      <c r="P39" s="6" t="s">
        <v>792</v>
      </c>
      <c r="Q39" s="6" t="s">
        <v>792</v>
      </c>
      <c r="R39" s="6" t="s">
        <v>792</v>
      </c>
      <c r="S39" s="6" t="s">
        <v>792</v>
      </c>
    </row>
    <row r="40" spans="2:19" ht="12" x14ac:dyDescent="0.25">
      <c r="B40" s="3" t="s">
        <v>759</v>
      </c>
      <c r="C40" s="3" t="s">
        <v>760</v>
      </c>
      <c r="D40" s="3"/>
      <c r="E40" s="3" t="s">
        <v>761</v>
      </c>
      <c r="F40" s="3" t="s">
        <v>762</v>
      </c>
      <c r="G40" s="3" t="s">
        <v>17</v>
      </c>
      <c r="H40" s="4">
        <v>45737</v>
      </c>
      <c r="I40" s="3" t="s">
        <v>18</v>
      </c>
      <c r="J40" s="5" t="s">
        <v>45</v>
      </c>
      <c r="K40" s="4">
        <v>45741</v>
      </c>
      <c r="L40" s="4">
        <v>35927</v>
      </c>
      <c r="M40" s="3" t="s">
        <v>763</v>
      </c>
      <c r="N40" s="3" t="s">
        <v>764</v>
      </c>
      <c r="O40" s="6" t="s">
        <v>39</v>
      </c>
      <c r="P40" s="6" t="s">
        <v>792</v>
      </c>
      <c r="Q40" s="6" t="s">
        <v>792</v>
      </c>
      <c r="R40" s="6" t="s">
        <v>792</v>
      </c>
      <c r="S40" s="6" t="s">
        <v>792</v>
      </c>
    </row>
    <row r="41" spans="2:19" ht="12" x14ac:dyDescent="0.25">
      <c r="B41" s="3" t="s">
        <v>765</v>
      </c>
      <c r="C41" s="3" t="s">
        <v>766</v>
      </c>
      <c r="D41" s="3"/>
      <c r="E41" s="3" t="s">
        <v>767</v>
      </c>
      <c r="F41" s="3" t="s">
        <v>768</v>
      </c>
      <c r="G41" s="3" t="s">
        <v>17</v>
      </c>
      <c r="H41" s="4">
        <v>45736</v>
      </c>
      <c r="I41" s="3" t="s">
        <v>18</v>
      </c>
      <c r="J41" s="5" t="s">
        <v>93</v>
      </c>
      <c r="K41" s="4">
        <v>45738</v>
      </c>
      <c r="L41" s="4">
        <v>38782</v>
      </c>
      <c r="M41" s="3" t="s">
        <v>769</v>
      </c>
      <c r="N41" s="3" t="s">
        <v>770</v>
      </c>
      <c r="O41" s="6" t="s">
        <v>789</v>
      </c>
      <c r="P41" s="6" t="s">
        <v>792</v>
      </c>
      <c r="Q41" s="6" t="s">
        <v>792</v>
      </c>
      <c r="R41" s="6" t="s">
        <v>792</v>
      </c>
      <c r="S41" s="6" t="s">
        <v>792</v>
      </c>
    </row>
    <row r="42" spans="2:19" ht="12" x14ac:dyDescent="0.25">
      <c r="B42" s="3" t="s">
        <v>771</v>
      </c>
      <c r="C42" s="3" t="s">
        <v>772</v>
      </c>
      <c r="D42" s="3"/>
      <c r="E42" s="3" t="s">
        <v>773</v>
      </c>
      <c r="F42" s="3" t="s">
        <v>774</v>
      </c>
      <c r="G42" s="3" t="s">
        <v>17</v>
      </c>
      <c r="H42" s="4">
        <v>45737</v>
      </c>
      <c r="I42" s="3" t="s">
        <v>18</v>
      </c>
      <c r="J42" s="5" t="s">
        <v>93</v>
      </c>
      <c r="K42" s="4">
        <v>45741</v>
      </c>
      <c r="L42" s="4">
        <v>39115</v>
      </c>
      <c r="M42" s="3" t="s">
        <v>775</v>
      </c>
      <c r="N42" s="3" t="s">
        <v>770</v>
      </c>
      <c r="O42" s="6" t="s">
        <v>850</v>
      </c>
      <c r="P42" s="6" t="s">
        <v>176</v>
      </c>
      <c r="Q42" s="6">
        <v>2</v>
      </c>
      <c r="R42" s="6" t="s">
        <v>68</v>
      </c>
      <c r="S42" s="6" t="s">
        <v>792</v>
      </c>
    </row>
    <row r="43" spans="2:19" ht="12" x14ac:dyDescent="0.25">
      <c r="B43" s="3" t="s">
        <v>776</v>
      </c>
      <c r="C43" s="3" t="s">
        <v>777</v>
      </c>
      <c r="D43" s="3"/>
      <c r="E43" s="3" t="s">
        <v>778</v>
      </c>
      <c r="F43" s="3" t="s">
        <v>779</v>
      </c>
      <c r="G43" s="3" t="s">
        <v>17</v>
      </c>
      <c r="H43" s="4">
        <v>45737</v>
      </c>
      <c r="I43" s="3" t="s">
        <v>18</v>
      </c>
      <c r="J43" s="5" t="s">
        <v>93</v>
      </c>
      <c r="K43" s="4">
        <v>45741</v>
      </c>
      <c r="L43" s="4">
        <v>37766</v>
      </c>
      <c r="M43" s="3" t="s">
        <v>780</v>
      </c>
      <c r="N43" s="3" t="s">
        <v>781</v>
      </c>
      <c r="O43" s="6" t="s">
        <v>850</v>
      </c>
      <c r="P43" s="6" t="s">
        <v>176</v>
      </c>
      <c r="Q43" s="6">
        <v>2</v>
      </c>
      <c r="R43" s="6" t="s">
        <v>68</v>
      </c>
      <c r="S43" s="6" t="s">
        <v>792</v>
      </c>
    </row>
    <row r="44" spans="2:19" ht="12" x14ac:dyDescent="0.25">
      <c r="B44" s="3" t="s">
        <v>782</v>
      </c>
      <c r="C44" s="3" t="s">
        <v>783</v>
      </c>
      <c r="D44" s="3"/>
      <c r="E44" s="3" t="s">
        <v>784</v>
      </c>
      <c r="F44" s="3" t="s">
        <v>785</v>
      </c>
      <c r="G44" s="3" t="s">
        <v>17</v>
      </c>
      <c r="H44" s="4">
        <v>45736</v>
      </c>
      <c r="I44" s="3" t="s">
        <v>18</v>
      </c>
      <c r="J44" s="5" t="s">
        <v>93</v>
      </c>
      <c r="K44" s="4">
        <v>45744</v>
      </c>
      <c r="L44" s="4">
        <v>38832</v>
      </c>
      <c r="M44" s="3" t="s">
        <v>786</v>
      </c>
      <c r="N44" s="3" t="s">
        <v>787</v>
      </c>
      <c r="O44" s="6" t="s">
        <v>48</v>
      </c>
      <c r="P44" s="6" t="s">
        <v>176</v>
      </c>
      <c r="Q44" s="6">
        <v>3</v>
      </c>
      <c r="R44" s="6" t="s">
        <v>76</v>
      </c>
      <c r="S44" s="6" t="s">
        <v>51</v>
      </c>
    </row>
    <row r="48" spans="2:19" x14ac:dyDescent="0.25">
      <c r="J48" s="1" t="s">
        <v>797</v>
      </c>
      <c r="K48" s="1">
        <v>405</v>
      </c>
    </row>
  </sheetData>
  <autoFilter ref="B3:S44" xr:uid="{7086BDE2-9797-4132-979C-37E44A5BF23B}"/>
  <dataValidations count="11">
    <dataValidation type="textLength" operator="lessThanOrEqual" allowBlank="1" showInputMessage="1" showErrorMessage="1" errorTitle="Invalid Column Value" error="Last Name must be 25 characters or less." prompt="Last Name Maximum Length is 25" sqref="D4:D30" xr:uid="{6FD84AC3-D1A0-43F6-93E5-4712074003CE}">
      <formula1>25</formula1>
    </dataValidation>
    <dataValidation type="textLength" operator="lessThanOrEqual" allowBlank="1" showInputMessage="1" showErrorMessage="1" errorTitle="Invalid Column Value" error="Employee Code must be 20 characters or less." prompt="Employee Code Maximum Length is 20" sqref="B4:B44" xr:uid="{0FDEF788-244B-408E-A06A-DDBE60A70471}">
      <formula1>20</formula1>
    </dataValidation>
    <dataValidation type="textLength" operator="lessThanOrEqual" allowBlank="1" showInputMessage="1" showErrorMessage="1" errorTitle="Invalid Column Value" error="First Name must be 25 characters or less." prompt="First Name Maximum Length is 25" sqref="C4:D44" xr:uid="{1B6DDD3C-0A7D-4FA4-B086-C7B3F28CCF27}">
      <formula1>25</formula1>
    </dataValidation>
    <dataValidation type="textLength" operator="lessThanOrEqual" allowBlank="1" showInputMessage="1" showErrorMessage="1" errorTitle="Invalid Column Value" error="Fathers Name must be 25 characters or less." prompt="Fathers Name Maximum Length is 25" sqref="E4:F44" xr:uid="{5C5030C8-6A16-4573-B982-CD747AFD9A73}">
      <formula1>25</formula1>
    </dataValidation>
    <dataValidation type="list" allowBlank="1" showInputMessage="1" showErrorMessage="1" errorTitle="Invalid Column Value" error="Please select a valid option" promptTitle="Select option from List" prompt="M_x000a_F_x000a_T_x000a_" sqref="G4:G44" xr:uid="{A3F244DC-B37B-4A2D-9B0C-A8F62A127AD9}">
      <formula1>Gender</formula1>
    </dataValidation>
    <dataValidation type="date" allowBlank="1" showInputMessage="1" showErrorMessage="1" errorTitle="Invalid Column Value" error="Joining Date Date must be between 01-Jan-1900 And 20-May-2025" prompt="Joining Date Date between 01-Jan-1900 And 20-May-2025" sqref="H4:H44" xr:uid="{B85A41BC-978E-4F99-9357-E5E9C3F3ED20}">
      <formula1>1</formula1>
      <formula2>45797</formula2>
    </dataValidation>
    <dataValidation type="textLength" allowBlank="1" showInputMessage="1" showErrorMessage="1" errorTitle="Invalid Column Value" error="Mobile No length must be  between 10 and 10" prompt="Mobile No Length between 10 And 10" sqref="F4:F44" xr:uid="{151553FE-5991-4D8A-A6B4-5B76100BF8BB}">
      <formula1>10</formula1>
      <formula2>10</formula2>
    </dataValidation>
    <dataValidation type="date" allowBlank="1" showInputMessage="1" showErrorMessage="1" errorTitle="Invalid Column Value" error="Termination Date Date must be between 01-Jan-2000 And 01-Jan-2050" prompt="Termination Date Date between 01-Jan-2000 And 01-Jan-2050" sqref="K4:K44" xr:uid="{75510147-C64B-4C4E-989C-E1749562B1F4}">
      <formula1>36526</formula1>
      <formula2>54789</formula2>
    </dataValidation>
    <dataValidation type="date" allowBlank="1" showInputMessage="1" showErrorMessage="1" errorTitle="Invalid Column Value" error="Birthday Date must be between 01-Jan-1900 And 20-May-2010" prompt="Birthday Date between 01-Jan-1900 And 20-May-2010" sqref="L4:L44" xr:uid="{27F44778-28C0-4BA0-A84E-DC98630E0971}">
      <formula1>1</formula1>
      <formula2>40318</formula2>
    </dataValidation>
    <dataValidation type="textLength" operator="lessThanOrEqual" allowBlank="1" showInputMessage="1" showErrorMessage="1" errorTitle="Invalid Column Value" error="Address Line1 must be 150 characters or less." prompt="Address Line1 Maximum Length is 150" sqref="M4:M44" xr:uid="{F55FE489-F93B-4645-AA1C-D3AC42C81F8F}">
      <formula1>150</formula1>
    </dataValidation>
    <dataValidation type="textLength" operator="lessThanOrEqual" allowBlank="1" showInputMessage="1" showErrorMessage="1" errorTitle="Invalid Column Value" error="City Name must be 30 characters or less." prompt="City Name Maximum Length is 30" sqref="N4:N44" xr:uid="{638FB9C8-8671-443D-A4A3-27A1CAD49DCD}">
      <formula1>30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E5091-4599-4B14-9ABA-6C174826EBA7}">
  <dimension ref="A1:H131"/>
  <sheetViews>
    <sheetView topLeftCell="C113" workbookViewId="0">
      <selection activeCell="D132" sqref="D132"/>
    </sheetView>
  </sheetViews>
  <sheetFormatPr defaultRowHeight="14.5" x14ac:dyDescent="0.35"/>
  <cols>
    <col min="1" max="1" width="7" bestFit="1" customWidth="1"/>
    <col min="2" max="2" width="30.7265625" bestFit="1" customWidth="1"/>
    <col min="3" max="3" width="19.81640625" bestFit="1" customWidth="1"/>
    <col min="4" max="4" width="22.26953125" bestFit="1" customWidth="1"/>
    <col min="5" max="5" width="25.1796875" bestFit="1" customWidth="1"/>
    <col min="6" max="6" width="20.1796875" style="36" bestFit="1" customWidth="1"/>
    <col min="7" max="7" width="14.6328125" bestFit="1" customWidth="1"/>
    <col min="8" max="8" width="14.81640625" bestFit="1" customWidth="1"/>
  </cols>
  <sheetData>
    <row r="1" spans="1:8" x14ac:dyDescent="0.35">
      <c r="A1" s="28" t="s">
        <v>5</v>
      </c>
      <c r="B1" s="28" t="s">
        <v>14</v>
      </c>
      <c r="C1" s="28" t="s">
        <v>790</v>
      </c>
      <c r="D1" s="28" t="s">
        <v>15</v>
      </c>
      <c r="E1" s="28" t="s">
        <v>8</v>
      </c>
      <c r="F1" s="34" t="s">
        <v>9</v>
      </c>
      <c r="G1" s="28" t="s">
        <v>799</v>
      </c>
      <c r="H1" s="28" t="s">
        <v>849</v>
      </c>
    </row>
    <row r="2" spans="1:8" x14ac:dyDescent="0.35">
      <c r="A2" s="29" t="s">
        <v>25</v>
      </c>
      <c r="B2" s="30" t="s">
        <v>792</v>
      </c>
      <c r="C2" s="30" t="s">
        <v>792</v>
      </c>
      <c r="D2" s="30" t="s">
        <v>792</v>
      </c>
      <c r="E2" s="31" t="s">
        <v>26</v>
      </c>
      <c r="F2" s="35">
        <v>45660</v>
      </c>
      <c r="G2" s="30" t="str">
        <f>TEXT(F2, "mmmm")</f>
        <v>January</v>
      </c>
      <c r="H2" s="32">
        <v>410</v>
      </c>
    </row>
    <row r="3" spans="1:8" x14ac:dyDescent="0.35">
      <c r="A3" s="29" t="s">
        <v>17</v>
      </c>
      <c r="B3" s="30" t="s">
        <v>792</v>
      </c>
      <c r="C3" s="30" t="s">
        <v>792</v>
      </c>
      <c r="D3" s="30" t="s">
        <v>792</v>
      </c>
      <c r="E3" s="31" t="s">
        <v>36</v>
      </c>
      <c r="F3" s="35">
        <v>45688</v>
      </c>
      <c r="G3" s="30" t="str">
        <f t="shared" ref="G3:G66" si="0">TEXT(F3, "mmmm")</f>
        <v>January</v>
      </c>
      <c r="H3" s="32"/>
    </row>
    <row r="4" spans="1:8" x14ac:dyDescent="0.35">
      <c r="A4" s="29" t="s">
        <v>25</v>
      </c>
      <c r="B4" s="30" t="s">
        <v>49</v>
      </c>
      <c r="C4" s="30">
        <v>4</v>
      </c>
      <c r="D4" s="30" t="s">
        <v>50</v>
      </c>
      <c r="E4" s="31" t="s">
        <v>45</v>
      </c>
      <c r="F4" s="35">
        <v>45667</v>
      </c>
      <c r="G4" s="30" t="str">
        <f t="shared" si="0"/>
        <v>January</v>
      </c>
      <c r="H4" s="32"/>
    </row>
    <row r="5" spans="1:8" x14ac:dyDescent="0.35">
      <c r="A5" s="29" t="s">
        <v>17</v>
      </c>
      <c r="B5" s="30" t="s">
        <v>60</v>
      </c>
      <c r="C5" s="30">
        <v>5</v>
      </c>
      <c r="D5" s="30" t="s">
        <v>50</v>
      </c>
      <c r="E5" s="31" t="s">
        <v>57</v>
      </c>
      <c r="F5" s="35">
        <v>45668</v>
      </c>
      <c r="G5" s="30" t="str">
        <f t="shared" si="0"/>
        <v>January</v>
      </c>
      <c r="H5" s="32"/>
    </row>
    <row r="6" spans="1:8" x14ac:dyDescent="0.35">
      <c r="A6" s="29" t="s">
        <v>17</v>
      </c>
      <c r="B6" s="30" t="s">
        <v>49</v>
      </c>
      <c r="C6" s="30">
        <v>2</v>
      </c>
      <c r="D6" s="30" t="s">
        <v>68</v>
      </c>
      <c r="E6" s="31" t="s">
        <v>26</v>
      </c>
      <c r="F6" s="35">
        <v>45678</v>
      </c>
      <c r="G6" s="30" t="str">
        <f t="shared" si="0"/>
        <v>January</v>
      </c>
      <c r="H6" s="32"/>
    </row>
    <row r="7" spans="1:8" x14ac:dyDescent="0.35">
      <c r="A7" s="29" t="s">
        <v>17</v>
      </c>
      <c r="B7" s="30" t="s">
        <v>49</v>
      </c>
      <c r="C7" s="30">
        <v>3</v>
      </c>
      <c r="D7" s="30" t="s">
        <v>51</v>
      </c>
      <c r="E7" s="31" t="s">
        <v>57</v>
      </c>
      <c r="F7" s="35">
        <v>45681</v>
      </c>
      <c r="G7" s="30" t="str">
        <f t="shared" si="0"/>
        <v>January</v>
      </c>
      <c r="H7" s="32"/>
    </row>
    <row r="8" spans="1:8" x14ac:dyDescent="0.35">
      <c r="A8" s="29" t="s">
        <v>17</v>
      </c>
      <c r="B8" s="30" t="s">
        <v>792</v>
      </c>
      <c r="C8" s="30" t="s">
        <v>792</v>
      </c>
      <c r="D8" s="30" t="s">
        <v>792</v>
      </c>
      <c r="E8" s="31" t="s">
        <v>45</v>
      </c>
      <c r="F8" s="35">
        <v>45687</v>
      </c>
      <c r="G8" s="30" t="str">
        <f t="shared" si="0"/>
        <v>January</v>
      </c>
      <c r="H8" s="32"/>
    </row>
    <row r="9" spans="1:8" x14ac:dyDescent="0.35">
      <c r="A9" s="29" t="s">
        <v>17</v>
      </c>
      <c r="B9" s="30" t="s">
        <v>792</v>
      </c>
      <c r="C9" s="30" t="s">
        <v>792</v>
      </c>
      <c r="D9" s="30" t="s">
        <v>792</v>
      </c>
      <c r="E9" s="31" t="s">
        <v>45</v>
      </c>
      <c r="F9" s="35">
        <v>45678</v>
      </c>
      <c r="G9" s="30" t="str">
        <f t="shared" si="0"/>
        <v>January</v>
      </c>
      <c r="H9" s="32"/>
    </row>
    <row r="10" spans="1:8" x14ac:dyDescent="0.35">
      <c r="A10" s="29" t="s">
        <v>17</v>
      </c>
      <c r="B10" s="30" t="s">
        <v>96</v>
      </c>
      <c r="C10" s="30">
        <v>2</v>
      </c>
      <c r="D10" s="30" t="s">
        <v>68</v>
      </c>
      <c r="E10" s="31" t="s">
        <v>93</v>
      </c>
      <c r="F10" s="35">
        <v>45673</v>
      </c>
      <c r="G10" s="30" t="str">
        <f t="shared" si="0"/>
        <v>January</v>
      </c>
      <c r="H10" s="32"/>
    </row>
    <row r="11" spans="1:8" x14ac:dyDescent="0.35">
      <c r="A11" s="29" t="s">
        <v>17</v>
      </c>
      <c r="B11" s="30" t="s">
        <v>792</v>
      </c>
      <c r="C11" s="30" t="s">
        <v>792</v>
      </c>
      <c r="D11" s="30" t="s">
        <v>792</v>
      </c>
      <c r="E11" s="31" t="s">
        <v>36</v>
      </c>
      <c r="F11" s="35">
        <v>45687</v>
      </c>
      <c r="G11" s="30" t="str">
        <f t="shared" si="0"/>
        <v>January</v>
      </c>
      <c r="H11" s="32"/>
    </row>
    <row r="12" spans="1:8" x14ac:dyDescent="0.35">
      <c r="A12" s="29" t="s">
        <v>17</v>
      </c>
      <c r="B12" s="30" t="s">
        <v>96</v>
      </c>
      <c r="C12" s="30">
        <v>2</v>
      </c>
      <c r="D12" s="30" t="s">
        <v>51</v>
      </c>
      <c r="E12" s="31" t="s">
        <v>36</v>
      </c>
      <c r="F12" s="35">
        <v>45661</v>
      </c>
      <c r="G12" s="30" t="str">
        <f t="shared" si="0"/>
        <v>January</v>
      </c>
      <c r="H12" s="32"/>
    </row>
    <row r="13" spans="1:8" x14ac:dyDescent="0.35">
      <c r="A13" s="29" t="s">
        <v>25</v>
      </c>
      <c r="B13" s="30" t="s">
        <v>115</v>
      </c>
      <c r="C13" s="30">
        <v>4</v>
      </c>
      <c r="D13" s="30" t="s">
        <v>68</v>
      </c>
      <c r="E13" s="31" t="s">
        <v>93</v>
      </c>
      <c r="F13" s="35">
        <v>45684</v>
      </c>
      <c r="G13" s="30" t="str">
        <f t="shared" si="0"/>
        <v>January</v>
      </c>
      <c r="H13" s="32"/>
    </row>
    <row r="14" spans="1:8" x14ac:dyDescent="0.35">
      <c r="A14" s="29" t="s">
        <v>17</v>
      </c>
      <c r="B14" s="30" t="s">
        <v>792</v>
      </c>
      <c r="C14" s="30" t="s">
        <v>792</v>
      </c>
      <c r="D14" s="30" t="s">
        <v>792</v>
      </c>
      <c r="E14" s="31" t="s">
        <v>57</v>
      </c>
      <c r="F14" s="35">
        <v>45665</v>
      </c>
      <c r="G14" s="30" t="str">
        <f t="shared" si="0"/>
        <v>January</v>
      </c>
      <c r="H14" s="32"/>
    </row>
    <row r="15" spans="1:8" x14ac:dyDescent="0.35">
      <c r="A15" s="29" t="s">
        <v>25</v>
      </c>
      <c r="B15" s="30" t="s">
        <v>96</v>
      </c>
      <c r="C15" s="30">
        <v>3</v>
      </c>
      <c r="D15" s="30" t="s">
        <v>68</v>
      </c>
      <c r="E15" s="31" t="s">
        <v>45</v>
      </c>
      <c r="F15" s="35">
        <v>45663</v>
      </c>
      <c r="G15" s="30" t="str">
        <f t="shared" si="0"/>
        <v>January</v>
      </c>
      <c r="H15" s="32"/>
    </row>
    <row r="16" spans="1:8" x14ac:dyDescent="0.35">
      <c r="A16" s="29" t="s">
        <v>25</v>
      </c>
      <c r="B16" s="30" t="s">
        <v>133</v>
      </c>
      <c r="C16" s="30">
        <v>4</v>
      </c>
      <c r="D16" s="30" t="s">
        <v>50</v>
      </c>
      <c r="E16" s="31" t="s">
        <v>45</v>
      </c>
      <c r="F16" s="35">
        <v>45663</v>
      </c>
      <c r="G16" s="30" t="str">
        <f t="shared" si="0"/>
        <v>January</v>
      </c>
      <c r="H16" s="32"/>
    </row>
    <row r="17" spans="1:8" x14ac:dyDescent="0.35">
      <c r="A17" s="29" t="s">
        <v>17</v>
      </c>
      <c r="B17" s="30" t="s">
        <v>792</v>
      </c>
      <c r="C17" s="30" t="s">
        <v>792</v>
      </c>
      <c r="D17" s="30" t="s">
        <v>792</v>
      </c>
      <c r="E17" s="31" t="s">
        <v>26</v>
      </c>
      <c r="F17" s="35">
        <v>45685</v>
      </c>
      <c r="G17" s="30" t="str">
        <f t="shared" si="0"/>
        <v>January</v>
      </c>
      <c r="H17" s="32"/>
    </row>
    <row r="18" spans="1:8" x14ac:dyDescent="0.35">
      <c r="A18" s="29" t="s">
        <v>25</v>
      </c>
      <c r="B18" s="30" t="s">
        <v>792</v>
      </c>
      <c r="C18" s="30" t="s">
        <v>792</v>
      </c>
      <c r="D18" s="30" t="s">
        <v>792</v>
      </c>
      <c r="E18" s="31" t="s">
        <v>26</v>
      </c>
      <c r="F18" s="35">
        <v>45665</v>
      </c>
      <c r="G18" s="30" t="str">
        <f t="shared" si="0"/>
        <v>January</v>
      </c>
      <c r="H18" s="32"/>
    </row>
    <row r="19" spans="1:8" x14ac:dyDescent="0.35">
      <c r="A19" s="29" t="s">
        <v>17</v>
      </c>
      <c r="B19" s="30" t="s">
        <v>176</v>
      </c>
      <c r="C19" s="30">
        <v>4</v>
      </c>
      <c r="D19" s="30" t="s">
        <v>50</v>
      </c>
      <c r="E19" s="31" t="s">
        <v>26</v>
      </c>
      <c r="F19" s="35">
        <v>45686</v>
      </c>
      <c r="G19" s="30" t="str">
        <f t="shared" si="0"/>
        <v>January</v>
      </c>
      <c r="H19" s="32"/>
    </row>
    <row r="20" spans="1:8" x14ac:dyDescent="0.35">
      <c r="A20" s="29" t="s">
        <v>25</v>
      </c>
      <c r="B20" s="30" t="s">
        <v>792</v>
      </c>
      <c r="C20" s="30" t="s">
        <v>792</v>
      </c>
      <c r="D20" s="30" t="s">
        <v>792</v>
      </c>
      <c r="E20" s="31" t="s">
        <v>93</v>
      </c>
      <c r="F20" s="35">
        <v>45666</v>
      </c>
      <c r="G20" s="30" t="str">
        <f t="shared" si="0"/>
        <v>January</v>
      </c>
      <c r="H20" s="32"/>
    </row>
    <row r="21" spans="1:8" x14ac:dyDescent="0.35">
      <c r="A21" s="29" t="s">
        <v>17</v>
      </c>
      <c r="B21" s="30" t="s">
        <v>792</v>
      </c>
      <c r="C21" s="30" t="s">
        <v>792</v>
      </c>
      <c r="D21" s="30" t="s">
        <v>792</v>
      </c>
      <c r="E21" s="31" t="s">
        <v>57</v>
      </c>
      <c r="F21" s="35">
        <v>45661</v>
      </c>
      <c r="G21" s="30" t="str">
        <f t="shared" si="0"/>
        <v>January</v>
      </c>
      <c r="H21" s="32"/>
    </row>
    <row r="22" spans="1:8" x14ac:dyDescent="0.35">
      <c r="A22" s="29" t="s">
        <v>25</v>
      </c>
      <c r="B22" s="30" t="s">
        <v>792</v>
      </c>
      <c r="C22" s="30" t="s">
        <v>792</v>
      </c>
      <c r="D22" s="30" t="s">
        <v>792</v>
      </c>
      <c r="E22" s="31" t="s">
        <v>36</v>
      </c>
      <c r="F22" s="35">
        <v>45679</v>
      </c>
      <c r="G22" s="30" t="str">
        <f t="shared" si="0"/>
        <v>January</v>
      </c>
      <c r="H22" s="32"/>
    </row>
    <row r="23" spans="1:8" x14ac:dyDescent="0.35">
      <c r="A23" s="29" t="s">
        <v>17</v>
      </c>
      <c r="B23" s="30" t="s">
        <v>176</v>
      </c>
      <c r="C23" s="30">
        <v>3</v>
      </c>
      <c r="D23" s="30" t="s">
        <v>68</v>
      </c>
      <c r="E23" s="31" t="s">
        <v>36</v>
      </c>
      <c r="F23" s="35">
        <v>45664</v>
      </c>
      <c r="G23" s="30" t="str">
        <f t="shared" si="0"/>
        <v>January</v>
      </c>
      <c r="H23" s="32"/>
    </row>
    <row r="24" spans="1:8" x14ac:dyDescent="0.35">
      <c r="A24" s="29" t="s">
        <v>17</v>
      </c>
      <c r="B24" s="30" t="s">
        <v>49</v>
      </c>
      <c r="C24" s="30">
        <v>4</v>
      </c>
      <c r="D24" s="30" t="s">
        <v>51</v>
      </c>
      <c r="E24" s="31" t="s">
        <v>36</v>
      </c>
      <c r="F24" s="35">
        <v>45675</v>
      </c>
      <c r="G24" s="30" t="str">
        <f t="shared" si="0"/>
        <v>January</v>
      </c>
      <c r="H24" s="32"/>
    </row>
    <row r="25" spans="1:8" x14ac:dyDescent="0.35">
      <c r="A25" s="29" t="s">
        <v>17</v>
      </c>
      <c r="B25" s="30" t="s">
        <v>176</v>
      </c>
      <c r="C25" s="30">
        <v>3</v>
      </c>
      <c r="D25" s="30" t="s">
        <v>68</v>
      </c>
      <c r="E25" s="31" t="s">
        <v>36</v>
      </c>
      <c r="F25" s="35">
        <v>45681</v>
      </c>
      <c r="G25" s="30" t="str">
        <f t="shared" si="0"/>
        <v>January</v>
      </c>
      <c r="H25" s="32"/>
    </row>
    <row r="26" spans="1:8" x14ac:dyDescent="0.35">
      <c r="A26" s="29" t="s">
        <v>25</v>
      </c>
      <c r="B26" s="30" t="s">
        <v>792</v>
      </c>
      <c r="C26" s="30" t="s">
        <v>792</v>
      </c>
      <c r="D26" s="30" t="s">
        <v>792</v>
      </c>
      <c r="E26" s="31" t="s">
        <v>93</v>
      </c>
      <c r="F26" s="35">
        <v>45671</v>
      </c>
      <c r="G26" s="30" t="str">
        <f t="shared" si="0"/>
        <v>January</v>
      </c>
      <c r="H26" s="32"/>
    </row>
    <row r="27" spans="1:8" x14ac:dyDescent="0.35">
      <c r="A27" s="29" t="s">
        <v>17</v>
      </c>
      <c r="B27" s="30" t="s">
        <v>792</v>
      </c>
      <c r="C27" s="30" t="s">
        <v>792</v>
      </c>
      <c r="D27" s="30" t="s">
        <v>792</v>
      </c>
      <c r="E27" s="31" t="s">
        <v>93</v>
      </c>
      <c r="F27" s="35">
        <v>45661</v>
      </c>
      <c r="G27" s="30" t="str">
        <f t="shared" si="0"/>
        <v>January</v>
      </c>
      <c r="H27" s="32"/>
    </row>
    <row r="28" spans="1:8" x14ac:dyDescent="0.35">
      <c r="A28" s="29" t="s">
        <v>25</v>
      </c>
      <c r="B28" s="30" t="s">
        <v>133</v>
      </c>
      <c r="C28" s="30">
        <v>4</v>
      </c>
      <c r="D28" s="30" t="s">
        <v>50</v>
      </c>
      <c r="E28" s="31" t="s">
        <v>57</v>
      </c>
      <c r="F28" s="35">
        <v>45685</v>
      </c>
      <c r="G28" s="30" t="str">
        <f t="shared" si="0"/>
        <v>January</v>
      </c>
      <c r="H28" s="32"/>
    </row>
    <row r="29" spans="1:8" x14ac:dyDescent="0.35">
      <c r="A29" s="29" t="s">
        <v>17</v>
      </c>
      <c r="B29" s="30" t="s">
        <v>792</v>
      </c>
      <c r="C29" s="30" t="s">
        <v>792</v>
      </c>
      <c r="D29" s="30" t="s">
        <v>792</v>
      </c>
      <c r="E29" s="31" t="s">
        <v>45</v>
      </c>
      <c r="F29" s="35">
        <v>45664</v>
      </c>
      <c r="G29" s="30" t="str">
        <f t="shared" si="0"/>
        <v>January</v>
      </c>
      <c r="H29" s="32"/>
    </row>
    <row r="30" spans="1:8" x14ac:dyDescent="0.35">
      <c r="A30" s="29" t="s">
        <v>25</v>
      </c>
      <c r="B30" s="30" t="s">
        <v>556</v>
      </c>
      <c r="C30" s="30">
        <v>3</v>
      </c>
      <c r="D30" s="30" t="s">
        <v>68</v>
      </c>
      <c r="E30" s="31" t="s">
        <v>36</v>
      </c>
      <c r="F30" s="35">
        <v>45661</v>
      </c>
      <c r="G30" s="30" t="str">
        <f t="shared" si="0"/>
        <v>January</v>
      </c>
      <c r="H30" s="32"/>
    </row>
    <row r="31" spans="1:8" x14ac:dyDescent="0.35">
      <c r="A31" s="29" t="s">
        <v>17</v>
      </c>
      <c r="B31" s="30" t="s">
        <v>133</v>
      </c>
      <c r="C31" s="30">
        <v>4</v>
      </c>
      <c r="D31" s="30" t="s">
        <v>50</v>
      </c>
      <c r="E31" s="31" t="s">
        <v>36</v>
      </c>
      <c r="F31" s="35">
        <v>45668</v>
      </c>
      <c r="G31" s="30" t="str">
        <f t="shared" si="0"/>
        <v>January</v>
      </c>
      <c r="H31" s="32"/>
    </row>
    <row r="32" spans="1:8" x14ac:dyDescent="0.35">
      <c r="A32" s="29" t="s">
        <v>25</v>
      </c>
      <c r="B32" s="30" t="s">
        <v>792</v>
      </c>
      <c r="C32" s="30" t="s">
        <v>792</v>
      </c>
      <c r="D32" s="30" t="s">
        <v>792</v>
      </c>
      <c r="E32" s="31" t="s">
        <v>57</v>
      </c>
      <c r="F32" s="35">
        <v>45662</v>
      </c>
      <c r="G32" s="30" t="str">
        <f t="shared" si="0"/>
        <v>January</v>
      </c>
      <c r="H32" s="32"/>
    </row>
    <row r="33" spans="1:8" x14ac:dyDescent="0.35">
      <c r="A33" s="29" t="s">
        <v>17</v>
      </c>
      <c r="B33" s="30" t="s">
        <v>792</v>
      </c>
      <c r="C33" s="30" t="s">
        <v>792</v>
      </c>
      <c r="D33" s="30" t="s">
        <v>792</v>
      </c>
      <c r="E33" s="31" t="s">
        <v>26</v>
      </c>
      <c r="F33" s="35">
        <v>45662</v>
      </c>
      <c r="G33" s="30" t="str">
        <f t="shared" si="0"/>
        <v>January</v>
      </c>
      <c r="H33" s="32"/>
    </row>
    <row r="34" spans="1:8" x14ac:dyDescent="0.35">
      <c r="A34" s="29" t="s">
        <v>17</v>
      </c>
      <c r="B34" s="30" t="s">
        <v>792</v>
      </c>
      <c r="C34" s="30" t="s">
        <v>792</v>
      </c>
      <c r="D34" s="30" t="s">
        <v>792</v>
      </c>
      <c r="E34" s="31" t="s">
        <v>26</v>
      </c>
      <c r="F34" s="35">
        <v>45661</v>
      </c>
      <c r="G34" s="30" t="str">
        <f t="shared" si="0"/>
        <v>January</v>
      </c>
      <c r="H34" s="32"/>
    </row>
    <row r="35" spans="1:8" x14ac:dyDescent="0.35">
      <c r="A35" s="29" t="s">
        <v>17</v>
      </c>
      <c r="B35" s="30" t="s">
        <v>792</v>
      </c>
      <c r="C35" s="30" t="s">
        <v>792</v>
      </c>
      <c r="D35" s="30" t="s">
        <v>792</v>
      </c>
      <c r="E35" s="31" t="s">
        <v>57</v>
      </c>
      <c r="F35" s="35">
        <v>45674</v>
      </c>
      <c r="G35" s="30" t="str">
        <f t="shared" si="0"/>
        <v>January</v>
      </c>
      <c r="H35" s="32"/>
    </row>
    <row r="36" spans="1:8" x14ac:dyDescent="0.35">
      <c r="A36" s="29" t="s">
        <v>17</v>
      </c>
      <c r="B36" s="30" t="s">
        <v>96</v>
      </c>
      <c r="C36" s="30">
        <v>3</v>
      </c>
      <c r="D36" s="30" t="s">
        <v>68</v>
      </c>
      <c r="E36" s="31" t="s">
        <v>36</v>
      </c>
      <c r="F36" s="35">
        <v>45688</v>
      </c>
      <c r="G36" s="30" t="str">
        <f t="shared" si="0"/>
        <v>January</v>
      </c>
      <c r="H36" s="32"/>
    </row>
    <row r="37" spans="1:8" x14ac:dyDescent="0.35">
      <c r="A37" s="29" t="s">
        <v>17</v>
      </c>
      <c r="B37" s="30" t="s">
        <v>49</v>
      </c>
      <c r="C37" s="30">
        <v>4</v>
      </c>
      <c r="D37" s="30" t="s">
        <v>51</v>
      </c>
      <c r="E37" s="31" t="s">
        <v>26</v>
      </c>
      <c r="F37" s="35">
        <v>45684</v>
      </c>
      <c r="G37" s="30" t="str">
        <f t="shared" si="0"/>
        <v>January</v>
      </c>
      <c r="H37" s="32"/>
    </row>
    <row r="38" spans="1:8" x14ac:dyDescent="0.35">
      <c r="A38" s="29" t="s">
        <v>17</v>
      </c>
      <c r="B38" s="30" t="s">
        <v>556</v>
      </c>
      <c r="C38" s="30">
        <v>3</v>
      </c>
      <c r="D38" s="30" t="s">
        <v>51</v>
      </c>
      <c r="E38" s="31" t="s">
        <v>26</v>
      </c>
      <c r="F38" s="35">
        <v>45664</v>
      </c>
      <c r="G38" s="30" t="str">
        <f t="shared" si="0"/>
        <v>January</v>
      </c>
      <c r="H38" s="32"/>
    </row>
    <row r="39" spans="1:8" x14ac:dyDescent="0.35">
      <c r="A39" s="29" t="s">
        <v>17</v>
      </c>
      <c r="B39" s="30" t="s">
        <v>792</v>
      </c>
      <c r="C39" s="30" t="s">
        <v>792</v>
      </c>
      <c r="D39" s="30" t="s">
        <v>792</v>
      </c>
      <c r="E39" s="31" t="s">
        <v>93</v>
      </c>
      <c r="F39" s="35">
        <v>45677</v>
      </c>
      <c r="G39" s="30" t="str">
        <f t="shared" si="0"/>
        <v>January</v>
      </c>
      <c r="H39" s="32"/>
    </row>
    <row r="40" spans="1:8" x14ac:dyDescent="0.35">
      <c r="A40" s="29" t="s">
        <v>17</v>
      </c>
      <c r="B40" s="30" t="s">
        <v>556</v>
      </c>
      <c r="C40" s="30">
        <v>2</v>
      </c>
      <c r="D40" s="30" t="s">
        <v>68</v>
      </c>
      <c r="E40" s="31" t="s">
        <v>93</v>
      </c>
      <c r="F40" s="35">
        <v>45688</v>
      </c>
      <c r="G40" s="30" t="str">
        <f t="shared" si="0"/>
        <v>January</v>
      </c>
      <c r="H40" s="32"/>
    </row>
    <row r="41" spans="1:8" x14ac:dyDescent="0.35">
      <c r="A41" s="29" t="s">
        <v>17</v>
      </c>
      <c r="B41" s="30" t="s">
        <v>49</v>
      </c>
      <c r="C41" s="30">
        <v>3</v>
      </c>
      <c r="D41" s="30" t="s">
        <v>68</v>
      </c>
      <c r="E41" s="31" t="s">
        <v>36</v>
      </c>
      <c r="F41" s="35">
        <v>45684</v>
      </c>
      <c r="G41" s="30" t="str">
        <f t="shared" si="0"/>
        <v>January</v>
      </c>
      <c r="H41" s="32"/>
    </row>
    <row r="42" spans="1:8" x14ac:dyDescent="0.35">
      <c r="A42" s="29" t="s">
        <v>17</v>
      </c>
      <c r="B42" s="30" t="s">
        <v>792</v>
      </c>
      <c r="C42" s="30" t="s">
        <v>792</v>
      </c>
      <c r="D42" s="30" t="s">
        <v>792</v>
      </c>
      <c r="E42" s="31" t="s">
        <v>45</v>
      </c>
      <c r="F42" s="35">
        <v>45664</v>
      </c>
      <c r="G42" s="30" t="str">
        <f t="shared" si="0"/>
        <v>January</v>
      </c>
      <c r="H42" s="32"/>
    </row>
    <row r="43" spans="1:8" x14ac:dyDescent="0.35">
      <c r="A43" s="29" t="s">
        <v>25</v>
      </c>
      <c r="B43" s="30" t="s">
        <v>49</v>
      </c>
      <c r="C43" s="30" t="s">
        <v>792</v>
      </c>
      <c r="D43" s="30" t="s">
        <v>68</v>
      </c>
      <c r="E43" s="31" t="s">
        <v>36</v>
      </c>
      <c r="F43" s="35">
        <v>45682</v>
      </c>
      <c r="G43" s="30" t="str">
        <f t="shared" si="0"/>
        <v>January</v>
      </c>
      <c r="H43" s="32"/>
    </row>
    <row r="44" spans="1:8" x14ac:dyDescent="0.35">
      <c r="A44" s="29" t="s">
        <v>17</v>
      </c>
      <c r="B44" s="30" t="s">
        <v>49</v>
      </c>
      <c r="C44" s="30">
        <v>4</v>
      </c>
      <c r="D44" s="30" t="s">
        <v>50</v>
      </c>
      <c r="E44" s="31" t="s">
        <v>93</v>
      </c>
      <c r="F44" s="35">
        <v>45694</v>
      </c>
      <c r="G44" s="30" t="str">
        <f t="shared" si="0"/>
        <v>February</v>
      </c>
      <c r="H44" s="32">
        <v>379</v>
      </c>
    </row>
    <row r="45" spans="1:8" x14ac:dyDescent="0.35">
      <c r="A45" s="29" t="s">
        <v>17</v>
      </c>
      <c r="B45" s="30" t="s">
        <v>60</v>
      </c>
      <c r="C45" s="30">
        <v>5</v>
      </c>
      <c r="D45" s="30" t="s">
        <v>50</v>
      </c>
      <c r="E45" s="31" t="s">
        <v>26</v>
      </c>
      <c r="F45" s="35">
        <v>45715</v>
      </c>
      <c r="G45" s="30" t="str">
        <f t="shared" si="0"/>
        <v>February</v>
      </c>
      <c r="H45" s="32"/>
    </row>
    <row r="46" spans="1:8" x14ac:dyDescent="0.35">
      <c r="A46" s="29" t="s">
        <v>25</v>
      </c>
      <c r="B46" s="30" t="s">
        <v>792</v>
      </c>
      <c r="C46" s="30" t="s">
        <v>792</v>
      </c>
      <c r="D46" s="30" t="s">
        <v>792</v>
      </c>
      <c r="E46" s="31" t="s">
        <v>93</v>
      </c>
      <c r="F46" s="35">
        <v>45706</v>
      </c>
      <c r="G46" s="30" t="str">
        <f t="shared" si="0"/>
        <v>February</v>
      </c>
      <c r="H46" s="32"/>
    </row>
    <row r="47" spans="1:8" x14ac:dyDescent="0.35">
      <c r="A47" s="29" t="s">
        <v>25</v>
      </c>
      <c r="B47" s="30" t="s">
        <v>115</v>
      </c>
      <c r="C47" s="30">
        <v>5</v>
      </c>
      <c r="D47" s="30" t="s">
        <v>68</v>
      </c>
      <c r="E47" s="31" t="s">
        <v>45</v>
      </c>
      <c r="F47" s="35">
        <v>45697</v>
      </c>
      <c r="G47" s="30" t="str">
        <f t="shared" si="0"/>
        <v>February</v>
      </c>
      <c r="H47" s="32"/>
    </row>
    <row r="48" spans="1:8" x14ac:dyDescent="0.35">
      <c r="A48" s="29" t="s">
        <v>17</v>
      </c>
      <c r="B48" s="30" t="s">
        <v>792</v>
      </c>
      <c r="C48" s="30" t="s">
        <v>792</v>
      </c>
      <c r="D48" s="30" t="s">
        <v>792</v>
      </c>
      <c r="E48" s="31" t="s">
        <v>26</v>
      </c>
      <c r="F48" s="35">
        <v>45710</v>
      </c>
      <c r="G48" s="30" t="str">
        <f t="shared" si="0"/>
        <v>February</v>
      </c>
      <c r="H48" s="32"/>
    </row>
    <row r="49" spans="1:8" x14ac:dyDescent="0.35">
      <c r="A49" s="29" t="s">
        <v>25</v>
      </c>
      <c r="B49" s="30" t="s">
        <v>792</v>
      </c>
      <c r="C49" s="30" t="s">
        <v>792</v>
      </c>
      <c r="D49" s="30" t="s">
        <v>792</v>
      </c>
      <c r="E49" s="31" t="s">
        <v>26</v>
      </c>
      <c r="F49" s="35">
        <v>45713</v>
      </c>
      <c r="G49" s="30" t="str">
        <f t="shared" si="0"/>
        <v>February</v>
      </c>
      <c r="H49" s="32"/>
    </row>
    <row r="50" spans="1:8" x14ac:dyDescent="0.35">
      <c r="A50" s="29" t="s">
        <v>17</v>
      </c>
      <c r="B50" s="30" t="s">
        <v>792</v>
      </c>
      <c r="C50" s="30" t="s">
        <v>792</v>
      </c>
      <c r="D50" s="30" t="s">
        <v>792</v>
      </c>
      <c r="E50" s="31" t="s">
        <v>93</v>
      </c>
      <c r="F50" s="35">
        <v>45695</v>
      </c>
      <c r="G50" s="30" t="str">
        <f t="shared" si="0"/>
        <v>February</v>
      </c>
      <c r="H50" s="32"/>
    </row>
    <row r="51" spans="1:8" x14ac:dyDescent="0.35">
      <c r="A51" s="29" t="s">
        <v>17</v>
      </c>
      <c r="B51" s="30" t="s">
        <v>792</v>
      </c>
      <c r="C51" s="30" t="s">
        <v>792</v>
      </c>
      <c r="D51" s="30" t="s">
        <v>792</v>
      </c>
      <c r="E51" s="31" t="s">
        <v>36</v>
      </c>
      <c r="F51" s="35">
        <v>45692</v>
      </c>
      <c r="G51" s="30" t="str">
        <f t="shared" si="0"/>
        <v>February</v>
      </c>
      <c r="H51" s="32"/>
    </row>
    <row r="52" spans="1:8" x14ac:dyDescent="0.35">
      <c r="A52" s="29" t="s">
        <v>25</v>
      </c>
      <c r="B52" s="30" t="s">
        <v>792</v>
      </c>
      <c r="C52" s="30" t="s">
        <v>792</v>
      </c>
      <c r="D52" s="30" t="s">
        <v>792</v>
      </c>
      <c r="E52" s="31" t="s">
        <v>57</v>
      </c>
      <c r="F52" s="35">
        <v>45692</v>
      </c>
      <c r="G52" s="30" t="str">
        <f t="shared" si="0"/>
        <v>February</v>
      </c>
      <c r="H52" s="32"/>
    </row>
    <row r="53" spans="1:8" x14ac:dyDescent="0.35">
      <c r="A53" s="29" t="s">
        <v>25</v>
      </c>
      <c r="B53" s="30" t="s">
        <v>352</v>
      </c>
      <c r="C53" s="30">
        <v>5</v>
      </c>
      <c r="D53" s="30" t="s">
        <v>50</v>
      </c>
      <c r="E53" s="31" t="s">
        <v>93</v>
      </c>
      <c r="F53" s="35">
        <v>45715</v>
      </c>
      <c r="G53" s="30" t="str">
        <f t="shared" si="0"/>
        <v>February</v>
      </c>
      <c r="H53" s="32"/>
    </row>
    <row r="54" spans="1:8" x14ac:dyDescent="0.35">
      <c r="A54" s="29" t="s">
        <v>17</v>
      </c>
      <c r="B54" s="30" t="s">
        <v>115</v>
      </c>
      <c r="C54" s="30">
        <v>5</v>
      </c>
      <c r="D54" s="30" t="s">
        <v>50</v>
      </c>
      <c r="E54" s="31" t="s">
        <v>93</v>
      </c>
      <c r="F54" s="35">
        <v>45702</v>
      </c>
      <c r="G54" s="30" t="str">
        <f t="shared" si="0"/>
        <v>February</v>
      </c>
      <c r="H54" s="32"/>
    </row>
    <row r="55" spans="1:8" x14ac:dyDescent="0.35">
      <c r="A55" s="29" t="s">
        <v>17</v>
      </c>
      <c r="B55" s="30" t="s">
        <v>96</v>
      </c>
      <c r="C55" s="30">
        <v>3</v>
      </c>
      <c r="D55" s="30" t="s">
        <v>68</v>
      </c>
      <c r="E55" s="31" t="s">
        <v>93</v>
      </c>
      <c r="F55" s="35">
        <v>45702</v>
      </c>
      <c r="G55" s="30" t="str">
        <f t="shared" si="0"/>
        <v>February</v>
      </c>
      <c r="H55" s="32"/>
    </row>
    <row r="56" spans="1:8" x14ac:dyDescent="0.35">
      <c r="A56" s="29" t="s">
        <v>17</v>
      </c>
      <c r="B56" s="30" t="s">
        <v>49</v>
      </c>
      <c r="C56" s="30">
        <v>4</v>
      </c>
      <c r="D56" s="30" t="s">
        <v>50</v>
      </c>
      <c r="E56" s="31" t="s">
        <v>36</v>
      </c>
      <c r="F56" s="35">
        <v>45716</v>
      </c>
      <c r="G56" s="30" t="str">
        <f t="shared" si="0"/>
        <v>February</v>
      </c>
      <c r="H56" s="32"/>
    </row>
    <row r="57" spans="1:8" x14ac:dyDescent="0.35">
      <c r="A57" s="29" t="s">
        <v>25</v>
      </c>
      <c r="B57" s="30" t="s">
        <v>96</v>
      </c>
      <c r="C57" s="30">
        <v>3</v>
      </c>
      <c r="D57" s="30" t="s">
        <v>50</v>
      </c>
      <c r="E57" s="31" t="s">
        <v>45</v>
      </c>
      <c r="F57" s="35">
        <v>45693</v>
      </c>
      <c r="G57" s="30" t="str">
        <f t="shared" si="0"/>
        <v>February</v>
      </c>
      <c r="H57" s="32"/>
    </row>
    <row r="58" spans="1:8" x14ac:dyDescent="0.35">
      <c r="A58" s="29" t="s">
        <v>17</v>
      </c>
      <c r="B58" s="30" t="s">
        <v>49</v>
      </c>
      <c r="C58" s="30">
        <v>4</v>
      </c>
      <c r="D58" s="30" t="s">
        <v>51</v>
      </c>
      <c r="E58" s="31" t="s">
        <v>45</v>
      </c>
      <c r="F58" s="35">
        <v>45693</v>
      </c>
      <c r="G58" s="30" t="str">
        <f t="shared" si="0"/>
        <v>February</v>
      </c>
      <c r="H58" s="32"/>
    </row>
    <row r="59" spans="1:8" x14ac:dyDescent="0.35">
      <c r="A59" s="29" t="s">
        <v>25</v>
      </c>
      <c r="B59" s="30" t="s">
        <v>792</v>
      </c>
      <c r="C59" s="30" t="s">
        <v>792</v>
      </c>
      <c r="D59" s="30" t="s">
        <v>792</v>
      </c>
      <c r="E59" s="31" t="s">
        <v>26</v>
      </c>
      <c r="F59" s="35">
        <v>45693</v>
      </c>
      <c r="G59" s="30" t="str">
        <f t="shared" si="0"/>
        <v>February</v>
      </c>
      <c r="H59" s="32"/>
    </row>
    <row r="60" spans="1:8" x14ac:dyDescent="0.35">
      <c r="A60" s="29" t="s">
        <v>25</v>
      </c>
      <c r="B60" s="30" t="s">
        <v>792</v>
      </c>
      <c r="C60" s="30" t="s">
        <v>792</v>
      </c>
      <c r="D60" s="30" t="s">
        <v>792</v>
      </c>
      <c r="E60" s="31" t="s">
        <v>93</v>
      </c>
      <c r="F60" s="35">
        <v>45695</v>
      </c>
      <c r="G60" s="30" t="str">
        <f t="shared" si="0"/>
        <v>February</v>
      </c>
      <c r="H60" s="32"/>
    </row>
    <row r="61" spans="1:8" x14ac:dyDescent="0.35">
      <c r="A61" s="29" t="s">
        <v>17</v>
      </c>
      <c r="B61" s="30" t="s">
        <v>49</v>
      </c>
      <c r="C61" s="30">
        <v>4</v>
      </c>
      <c r="D61" s="30" t="s">
        <v>50</v>
      </c>
      <c r="E61" s="31" t="s">
        <v>26</v>
      </c>
      <c r="F61" s="35">
        <v>45699</v>
      </c>
      <c r="G61" s="30" t="str">
        <f t="shared" si="0"/>
        <v>February</v>
      </c>
      <c r="H61" s="32"/>
    </row>
    <row r="62" spans="1:8" x14ac:dyDescent="0.35">
      <c r="A62" s="29" t="s">
        <v>25</v>
      </c>
      <c r="B62" s="30" t="s">
        <v>49</v>
      </c>
      <c r="C62" s="30">
        <v>4</v>
      </c>
      <c r="D62" s="30" t="s">
        <v>51</v>
      </c>
      <c r="E62" s="31" t="s">
        <v>26</v>
      </c>
      <c r="F62" s="35">
        <v>45702</v>
      </c>
      <c r="G62" s="30" t="str">
        <f t="shared" si="0"/>
        <v>February</v>
      </c>
      <c r="H62" s="32"/>
    </row>
    <row r="63" spans="1:8" x14ac:dyDescent="0.35">
      <c r="A63" s="29" t="s">
        <v>17</v>
      </c>
      <c r="B63" s="30" t="s">
        <v>49</v>
      </c>
      <c r="C63" s="30">
        <v>5</v>
      </c>
      <c r="D63" s="30" t="s">
        <v>50</v>
      </c>
      <c r="E63" s="31" t="s">
        <v>26</v>
      </c>
      <c r="F63" s="35">
        <v>45698</v>
      </c>
      <c r="G63" s="30" t="str">
        <f t="shared" si="0"/>
        <v>February</v>
      </c>
      <c r="H63" s="32"/>
    </row>
    <row r="64" spans="1:8" x14ac:dyDescent="0.35">
      <c r="A64" s="29" t="s">
        <v>17</v>
      </c>
      <c r="B64" s="30" t="s">
        <v>49</v>
      </c>
      <c r="C64" s="30">
        <v>3</v>
      </c>
      <c r="D64" s="30" t="s">
        <v>68</v>
      </c>
      <c r="E64" s="31" t="s">
        <v>93</v>
      </c>
      <c r="F64" s="35">
        <v>45716</v>
      </c>
      <c r="G64" s="30" t="str">
        <f t="shared" si="0"/>
        <v>February</v>
      </c>
      <c r="H64" s="32"/>
    </row>
    <row r="65" spans="1:8" x14ac:dyDescent="0.35">
      <c r="A65" s="29" t="s">
        <v>25</v>
      </c>
      <c r="B65" s="30" t="s">
        <v>96</v>
      </c>
      <c r="C65" s="30">
        <v>2</v>
      </c>
      <c r="D65" s="30" t="s">
        <v>68</v>
      </c>
      <c r="E65" s="31" t="s">
        <v>57</v>
      </c>
      <c r="F65" s="35">
        <v>45710</v>
      </c>
      <c r="G65" s="30" t="str">
        <f t="shared" si="0"/>
        <v>February</v>
      </c>
      <c r="H65" s="32"/>
    </row>
    <row r="66" spans="1:8" x14ac:dyDescent="0.35">
      <c r="A66" s="29" t="s">
        <v>25</v>
      </c>
      <c r="B66" s="30" t="s">
        <v>556</v>
      </c>
      <c r="C66" s="30">
        <v>3</v>
      </c>
      <c r="D66" s="30" t="s">
        <v>51</v>
      </c>
      <c r="E66" s="31" t="s">
        <v>93</v>
      </c>
      <c r="F66" s="35">
        <v>45699</v>
      </c>
      <c r="G66" s="30" t="str">
        <f t="shared" si="0"/>
        <v>February</v>
      </c>
      <c r="H66" s="32"/>
    </row>
    <row r="67" spans="1:8" x14ac:dyDescent="0.35">
      <c r="A67" s="29" t="s">
        <v>17</v>
      </c>
      <c r="B67" s="30" t="s">
        <v>557</v>
      </c>
      <c r="C67" s="30">
        <v>4</v>
      </c>
      <c r="D67" s="30" t="s">
        <v>51</v>
      </c>
      <c r="E67" s="31" t="s">
        <v>26</v>
      </c>
      <c r="F67" s="35">
        <v>45702</v>
      </c>
      <c r="G67" s="30" t="str">
        <f t="shared" ref="G67:G130" si="1">TEXT(F67, "mmmm")</f>
        <v>February</v>
      </c>
      <c r="H67" s="32"/>
    </row>
    <row r="68" spans="1:8" x14ac:dyDescent="0.35">
      <c r="A68" s="29" t="s">
        <v>17</v>
      </c>
      <c r="B68" s="30" t="s">
        <v>792</v>
      </c>
      <c r="C68" s="30" t="s">
        <v>792</v>
      </c>
      <c r="D68" s="30" t="s">
        <v>792</v>
      </c>
      <c r="E68" s="31" t="s">
        <v>57</v>
      </c>
      <c r="F68" s="35">
        <v>45698</v>
      </c>
      <c r="G68" s="30" t="str">
        <f t="shared" si="1"/>
        <v>February</v>
      </c>
      <c r="H68" s="32"/>
    </row>
    <row r="69" spans="1:8" x14ac:dyDescent="0.35">
      <c r="A69" s="29" t="s">
        <v>25</v>
      </c>
      <c r="B69" s="30" t="s">
        <v>792</v>
      </c>
      <c r="C69" s="30" t="s">
        <v>792</v>
      </c>
      <c r="D69" s="30" t="s">
        <v>792</v>
      </c>
      <c r="E69" s="31" t="s">
        <v>57</v>
      </c>
      <c r="F69" s="35">
        <v>45692</v>
      </c>
      <c r="G69" s="30" t="str">
        <f t="shared" si="1"/>
        <v>February</v>
      </c>
      <c r="H69" s="32"/>
    </row>
    <row r="70" spans="1:8" x14ac:dyDescent="0.35">
      <c r="A70" s="29" t="s">
        <v>17</v>
      </c>
      <c r="B70" s="30" t="s">
        <v>176</v>
      </c>
      <c r="C70" s="30">
        <v>4</v>
      </c>
      <c r="D70" s="30" t="s">
        <v>559</v>
      </c>
      <c r="E70" s="31" t="s">
        <v>45</v>
      </c>
      <c r="F70" s="35">
        <v>45702</v>
      </c>
      <c r="G70" s="30" t="str">
        <f t="shared" si="1"/>
        <v>February</v>
      </c>
      <c r="H70" s="32"/>
    </row>
    <row r="71" spans="1:8" x14ac:dyDescent="0.35">
      <c r="A71" s="29" t="s">
        <v>25</v>
      </c>
      <c r="B71" s="30" t="s">
        <v>176</v>
      </c>
      <c r="C71" s="30">
        <v>3</v>
      </c>
      <c r="D71" s="30" t="s">
        <v>68</v>
      </c>
      <c r="E71" s="31" t="s">
        <v>93</v>
      </c>
      <c r="F71" s="35">
        <v>45689</v>
      </c>
      <c r="G71" s="30" t="str">
        <f t="shared" si="1"/>
        <v>February</v>
      </c>
      <c r="H71" s="32"/>
    </row>
    <row r="72" spans="1:8" x14ac:dyDescent="0.35">
      <c r="A72" s="29" t="s">
        <v>25</v>
      </c>
      <c r="B72" s="30" t="s">
        <v>792</v>
      </c>
      <c r="C72" s="30" t="s">
        <v>792</v>
      </c>
      <c r="D72" s="30" t="s">
        <v>792</v>
      </c>
      <c r="E72" s="31" t="s">
        <v>36</v>
      </c>
      <c r="F72" s="35">
        <v>45713</v>
      </c>
      <c r="G72" s="30" t="str">
        <f t="shared" si="1"/>
        <v>February</v>
      </c>
      <c r="H72" s="32"/>
    </row>
    <row r="73" spans="1:8" x14ac:dyDescent="0.35">
      <c r="A73" s="29" t="s">
        <v>17</v>
      </c>
      <c r="B73" s="30" t="s">
        <v>96</v>
      </c>
      <c r="C73" s="30">
        <v>3</v>
      </c>
      <c r="D73" s="30" t="s">
        <v>68</v>
      </c>
      <c r="E73" s="31" t="s">
        <v>36</v>
      </c>
      <c r="F73" s="35">
        <v>45714</v>
      </c>
      <c r="G73" s="30" t="str">
        <f t="shared" si="1"/>
        <v>February</v>
      </c>
      <c r="H73" s="32"/>
    </row>
    <row r="74" spans="1:8" x14ac:dyDescent="0.35">
      <c r="A74" s="29" t="s">
        <v>17</v>
      </c>
      <c r="B74" s="30" t="s">
        <v>792</v>
      </c>
      <c r="C74" s="30" t="s">
        <v>792</v>
      </c>
      <c r="D74" s="30" t="s">
        <v>792</v>
      </c>
      <c r="E74" s="31" t="s">
        <v>57</v>
      </c>
      <c r="F74" s="35">
        <v>45695</v>
      </c>
      <c r="G74" s="30" t="str">
        <f t="shared" si="1"/>
        <v>February</v>
      </c>
      <c r="H74" s="32"/>
    </row>
    <row r="75" spans="1:8" x14ac:dyDescent="0.35">
      <c r="A75" s="29" t="s">
        <v>25</v>
      </c>
      <c r="B75" s="30" t="s">
        <v>49</v>
      </c>
      <c r="C75" s="30">
        <v>3</v>
      </c>
      <c r="D75" s="30" t="s">
        <v>68</v>
      </c>
      <c r="E75" s="31" t="s">
        <v>26</v>
      </c>
      <c r="F75" s="35">
        <v>45695</v>
      </c>
      <c r="G75" s="30" t="str">
        <f t="shared" si="1"/>
        <v>February</v>
      </c>
      <c r="H75" s="32"/>
    </row>
    <row r="76" spans="1:8" x14ac:dyDescent="0.35">
      <c r="A76" s="29" t="s">
        <v>17</v>
      </c>
      <c r="B76" s="30" t="s">
        <v>792</v>
      </c>
      <c r="C76" s="30" t="s">
        <v>792</v>
      </c>
      <c r="D76" s="30" t="s">
        <v>792</v>
      </c>
      <c r="E76" s="31" t="s">
        <v>26</v>
      </c>
      <c r="F76" s="35">
        <v>45701</v>
      </c>
      <c r="G76" s="30" t="str">
        <f t="shared" si="1"/>
        <v>February</v>
      </c>
      <c r="H76" s="32"/>
    </row>
    <row r="77" spans="1:8" x14ac:dyDescent="0.35">
      <c r="A77" s="29" t="s">
        <v>17</v>
      </c>
      <c r="B77" s="30" t="s">
        <v>792</v>
      </c>
      <c r="C77" s="30" t="s">
        <v>792</v>
      </c>
      <c r="D77" s="30" t="s">
        <v>792</v>
      </c>
      <c r="E77" s="31" t="s">
        <v>93</v>
      </c>
      <c r="F77" s="35">
        <v>45705</v>
      </c>
      <c r="G77" s="30" t="str">
        <f t="shared" si="1"/>
        <v>February</v>
      </c>
      <c r="H77" s="32"/>
    </row>
    <row r="78" spans="1:8" x14ac:dyDescent="0.35">
      <c r="A78" s="29" t="s">
        <v>25</v>
      </c>
      <c r="B78" s="30" t="s">
        <v>792</v>
      </c>
      <c r="C78" s="30" t="s">
        <v>792</v>
      </c>
      <c r="D78" s="30" t="s">
        <v>792</v>
      </c>
      <c r="E78" s="31" t="s">
        <v>57</v>
      </c>
      <c r="F78" s="35">
        <v>45689</v>
      </c>
      <c r="G78" s="30" t="str">
        <f t="shared" si="1"/>
        <v>February</v>
      </c>
      <c r="H78" s="32"/>
    </row>
    <row r="79" spans="1:8" x14ac:dyDescent="0.35">
      <c r="A79" s="29" t="s">
        <v>17</v>
      </c>
      <c r="B79" s="30" t="s">
        <v>176</v>
      </c>
      <c r="C79" s="30">
        <v>3</v>
      </c>
      <c r="D79" s="30" t="s">
        <v>68</v>
      </c>
      <c r="E79" s="31" t="s">
        <v>26</v>
      </c>
      <c r="F79" s="35">
        <v>45702</v>
      </c>
      <c r="G79" s="30" t="str">
        <f t="shared" si="1"/>
        <v>February</v>
      </c>
      <c r="H79" s="32"/>
    </row>
    <row r="80" spans="1:8" x14ac:dyDescent="0.35">
      <c r="A80" s="29" t="s">
        <v>17</v>
      </c>
      <c r="B80" s="30" t="s">
        <v>49</v>
      </c>
      <c r="C80" s="30">
        <v>4</v>
      </c>
      <c r="D80" s="30" t="s">
        <v>68</v>
      </c>
      <c r="E80" s="31" t="s">
        <v>57</v>
      </c>
      <c r="F80" s="35">
        <v>45694</v>
      </c>
      <c r="G80" s="30" t="str">
        <f t="shared" si="1"/>
        <v>February</v>
      </c>
      <c r="H80" s="32"/>
    </row>
    <row r="81" spans="1:8" x14ac:dyDescent="0.35">
      <c r="A81" s="29" t="s">
        <v>17</v>
      </c>
      <c r="B81" s="30" t="s">
        <v>792</v>
      </c>
      <c r="C81" s="30" t="s">
        <v>792</v>
      </c>
      <c r="D81" s="30" t="s">
        <v>792</v>
      </c>
      <c r="E81" s="31" t="s">
        <v>57</v>
      </c>
      <c r="F81" s="35">
        <v>45710</v>
      </c>
      <c r="G81" s="30" t="str">
        <f t="shared" si="1"/>
        <v>February</v>
      </c>
      <c r="H81" s="32"/>
    </row>
    <row r="82" spans="1:8" x14ac:dyDescent="0.35">
      <c r="A82" s="29" t="s">
        <v>25</v>
      </c>
      <c r="B82" s="30" t="s">
        <v>792</v>
      </c>
      <c r="C82" s="30" t="s">
        <v>792</v>
      </c>
      <c r="D82" s="30" t="s">
        <v>792</v>
      </c>
      <c r="E82" s="31" t="s">
        <v>26</v>
      </c>
      <c r="F82" s="35">
        <v>45690</v>
      </c>
      <c r="G82" s="30" t="str">
        <f t="shared" si="1"/>
        <v>February</v>
      </c>
      <c r="H82" s="32"/>
    </row>
    <row r="83" spans="1:8" x14ac:dyDescent="0.35">
      <c r="A83" s="29" t="s">
        <v>25</v>
      </c>
      <c r="B83" s="30" t="s">
        <v>792</v>
      </c>
      <c r="C83" s="30" t="s">
        <v>792</v>
      </c>
      <c r="D83" s="30" t="s">
        <v>792</v>
      </c>
      <c r="E83" s="31" t="s">
        <v>36</v>
      </c>
      <c r="F83" s="35">
        <v>45706</v>
      </c>
      <c r="G83" s="30" t="str">
        <f t="shared" si="1"/>
        <v>February</v>
      </c>
      <c r="H83" s="32"/>
    </row>
    <row r="84" spans="1:8" x14ac:dyDescent="0.35">
      <c r="A84" s="29" t="s">
        <v>17</v>
      </c>
      <c r="B84" s="30" t="s">
        <v>96</v>
      </c>
      <c r="C84" s="30">
        <v>3</v>
      </c>
      <c r="D84" s="30" t="s">
        <v>51</v>
      </c>
      <c r="E84" s="31" t="s">
        <v>45</v>
      </c>
      <c r="F84" s="35">
        <v>45702</v>
      </c>
      <c r="G84" s="30" t="str">
        <f t="shared" si="1"/>
        <v>February</v>
      </c>
      <c r="H84" s="32"/>
    </row>
    <row r="85" spans="1:8" x14ac:dyDescent="0.35">
      <c r="A85" s="29" t="s">
        <v>17</v>
      </c>
      <c r="B85" s="30" t="s">
        <v>561</v>
      </c>
      <c r="C85" s="30">
        <v>2</v>
      </c>
      <c r="D85" s="30" t="s">
        <v>559</v>
      </c>
      <c r="E85" s="31" t="s">
        <v>93</v>
      </c>
      <c r="F85" s="35">
        <v>45702</v>
      </c>
      <c r="G85" s="30" t="str">
        <f t="shared" si="1"/>
        <v>February</v>
      </c>
      <c r="H85" s="32"/>
    </row>
    <row r="86" spans="1:8" x14ac:dyDescent="0.35">
      <c r="A86" s="29" t="s">
        <v>17</v>
      </c>
      <c r="B86" s="30" t="s">
        <v>792</v>
      </c>
      <c r="C86" s="30" t="s">
        <v>792</v>
      </c>
      <c r="D86" s="30" t="s">
        <v>792</v>
      </c>
      <c r="E86" s="31" t="s">
        <v>36</v>
      </c>
      <c r="F86" s="35">
        <v>45699</v>
      </c>
      <c r="G86" s="30" t="str">
        <f t="shared" si="1"/>
        <v>February</v>
      </c>
      <c r="H86" s="32"/>
    </row>
    <row r="87" spans="1:8" x14ac:dyDescent="0.35">
      <c r="A87" s="29" t="s">
        <v>17</v>
      </c>
      <c r="B87" s="30" t="s">
        <v>176</v>
      </c>
      <c r="C87" s="30">
        <v>3</v>
      </c>
      <c r="D87" s="30" t="s">
        <v>68</v>
      </c>
      <c r="E87" s="31" t="s">
        <v>26</v>
      </c>
      <c r="F87" s="35">
        <v>45716</v>
      </c>
      <c r="G87" s="30" t="str">
        <f t="shared" si="1"/>
        <v>February</v>
      </c>
      <c r="H87" s="32"/>
    </row>
    <row r="88" spans="1:8" x14ac:dyDescent="0.35">
      <c r="A88" s="29" t="s">
        <v>17</v>
      </c>
      <c r="B88" s="30" t="s">
        <v>792</v>
      </c>
      <c r="C88" s="30" t="s">
        <v>792</v>
      </c>
      <c r="D88" s="30" t="s">
        <v>792</v>
      </c>
      <c r="E88" s="31" t="s">
        <v>45</v>
      </c>
      <c r="F88" s="35">
        <v>45716</v>
      </c>
      <c r="G88" s="30" t="str">
        <f t="shared" si="1"/>
        <v>February</v>
      </c>
      <c r="H88" s="32"/>
    </row>
    <row r="89" spans="1:8" x14ac:dyDescent="0.35">
      <c r="A89" s="29" t="s">
        <v>17</v>
      </c>
      <c r="B89" s="30" t="s">
        <v>352</v>
      </c>
      <c r="C89" s="30">
        <v>4</v>
      </c>
      <c r="D89" s="30" t="s">
        <v>50</v>
      </c>
      <c r="E89" s="31" t="s">
        <v>93</v>
      </c>
      <c r="F89" s="35">
        <v>45710</v>
      </c>
      <c r="G89" s="30" t="str">
        <f t="shared" si="1"/>
        <v>February</v>
      </c>
      <c r="H89" s="32"/>
    </row>
    <row r="90" spans="1:8" x14ac:dyDescent="0.35">
      <c r="A90" s="29" t="s">
        <v>17</v>
      </c>
      <c r="B90" s="30" t="s">
        <v>792</v>
      </c>
      <c r="C90" s="30" t="s">
        <v>792</v>
      </c>
      <c r="D90" s="30" t="s">
        <v>792</v>
      </c>
      <c r="E90" s="31" t="s">
        <v>36</v>
      </c>
      <c r="F90" s="35">
        <v>45689</v>
      </c>
      <c r="G90" s="30" t="str">
        <f t="shared" si="1"/>
        <v>February</v>
      </c>
      <c r="H90" s="32"/>
    </row>
    <row r="91" spans="1:8" x14ac:dyDescent="0.35">
      <c r="A91" s="29" t="s">
        <v>17</v>
      </c>
      <c r="B91" s="30" t="s">
        <v>792</v>
      </c>
      <c r="C91" s="30" t="s">
        <v>792</v>
      </c>
      <c r="D91" s="30" t="s">
        <v>792</v>
      </c>
      <c r="E91" s="31" t="s">
        <v>45</v>
      </c>
      <c r="F91" s="35">
        <v>45746</v>
      </c>
      <c r="G91" s="30" t="str">
        <f t="shared" si="1"/>
        <v>March</v>
      </c>
      <c r="H91" s="32">
        <v>405</v>
      </c>
    </row>
    <row r="92" spans="1:8" x14ac:dyDescent="0.35">
      <c r="A92" s="29" t="s">
        <v>17</v>
      </c>
      <c r="B92" s="30" t="s">
        <v>49</v>
      </c>
      <c r="C92" s="30">
        <v>3</v>
      </c>
      <c r="D92" s="30" t="s">
        <v>68</v>
      </c>
      <c r="E92" s="31" t="s">
        <v>45</v>
      </c>
      <c r="F92" s="35">
        <v>45743</v>
      </c>
      <c r="G92" s="30" t="str">
        <f t="shared" si="1"/>
        <v>March</v>
      </c>
      <c r="H92" s="32"/>
    </row>
    <row r="93" spans="1:8" x14ac:dyDescent="0.35">
      <c r="A93" s="29" t="s">
        <v>17</v>
      </c>
      <c r="B93" s="30" t="s">
        <v>792</v>
      </c>
      <c r="C93" s="30" t="s">
        <v>792</v>
      </c>
      <c r="D93" s="30" t="s">
        <v>792</v>
      </c>
      <c r="E93" s="31" t="s">
        <v>93</v>
      </c>
      <c r="F93" s="35">
        <v>45743</v>
      </c>
      <c r="G93" s="30" t="str">
        <f t="shared" si="1"/>
        <v>March</v>
      </c>
      <c r="H93" s="32"/>
    </row>
    <row r="94" spans="1:8" x14ac:dyDescent="0.35">
      <c r="A94" s="29" t="s">
        <v>17</v>
      </c>
      <c r="B94" s="30" t="s">
        <v>96</v>
      </c>
      <c r="C94" s="30">
        <v>3</v>
      </c>
      <c r="D94" s="30" t="s">
        <v>68</v>
      </c>
      <c r="E94" s="31" t="s">
        <v>26</v>
      </c>
      <c r="F94" s="35">
        <v>45742</v>
      </c>
      <c r="G94" s="30" t="str">
        <f t="shared" si="1"/>
        <v>March</v>
      </c>
      <c r="H94" s="32"/>
    </row>
    <row r="95" spans="1:8" x14ac:dyDescent="0.35">
      <c r="A95" s="29" t="s">
        <v>17</v>
      </c>
      <c r="B95" s="30" t="s">
        <v>792</v>
      </c>
      <c r="C95" s="30" t="s">
        <v>792</v>
      </c>
      <c r="D95" s="30" t="s">
        <v>792</v>
      </c>
      <c r="E95" s="31" t="s">
        <v>36</v>
      </c>
      <c r="F95" s="35">
        <v>45747</v>
      </c>
      <c r="G95" s="30" t="str">
        <f t="shared" si="1"/>
        <v>March</v>
      </c>
      <c r="H95" s="32"/>
    </row>
    <row r="96" spans="1:8" x14ac:dyDescent="0.35">
      <c r="A96" s="29" t="s">
        <v>17</v>
      </c>
      <c r="B96" s="30" t="s">
        <v>49</v>
      </c>
      <c r="C96" s="30">
        <v>4</v>
      </c>
      <c r="D96" s="30" t="s">
        <v>51</v>
      </c>
      <c r="E96" s="31" t="s">
        <v>36</v>
      </c>
      <c r="F96" s="35">
        <v>45722</v>
      </c>
      <c r="G96" s="30" t="str">
        <f t="shared" si="1"/>
        <v>March</v>
      </c>
      <c r="H96" s="32"/>
    </row>
    <row r="97" spans="1:8" x14ac:dyDescent="0.35">
      <c r="A97" s="29" t="s">
        <v>25</v>
      </c>
      <c r="B97" s="30" t="s">
        <v>49</v>
      </c>
      <c r="C97" s="30">
        <v>4</v>
      </c>
      <c r="D97" s="30" t="s">
        <v>51</v>
      </c>
      <c r="E97" s="31" t="s">
        <v>45</v>
      </c>
      <c r="F97" s="35">
        <v>45746</v>
      </c>
      <c r="G97" s="30" t="str">
        <f t="shared" si="1"/>
        <v>March</v>
      </c>
      <c r="H97" s="32"/>
    </row>
    <row r="98" spans="1:8" x14ac:dyDescent="0.35">
      <c r="A98" s="29" t="s">
        <v>17</v>
      </c>
      <c r="B98" s="30" t="s">
        <v>792</v>
      </c>
      <c r="C98" s="30" t="s">
        <v>792</v>
      </c>
      <c r="D98" s="30" t="s">
        <v>792</v>
      </c>
      <c r="E98" s="31" t="s">
        <v>93</v>
      </c>
      <c r="F98" s="35">
        <v>45746</v>
      </c>
      <c r="G98" s="30" t="str">
        <f t="shared" si="1"/>
        <v>March</v>
      </c>
      <c r="H98" s="32"/>
    </row>
    <row r="99" spans="1:8" x14ac:dyDescent="0.35">
      <c r="A99" s="29" t="s">
        <v>17</v>
      </c>
      <c r="B99" s="30" t="s">
        <v>96</v>
      </c>
      <c r="C99" s="30">
        <v>3</v>
      </c>
      <c r="D99" s="30" t="s">
        <v>68</v>
      </c>
      <c r="E99" s="31" t="s">
        <v>26</v>
      </c>
      <c r="F99" s="35">
        <v>45722</v>
      </c>
      <c r="G99" s="30" t="str">
        <f t="shared" si="1"/>
        <v>March</v>
      </c>
      <c r="H99" s="32"/>
    </row>
    <row r="100" spans="1:8" x14ac:dyDescent="0.35">
      <c r="A100" s="29" t="s">
        <v>17</v>
      </c>
      <c r="B100" s="30" t="s">
        <v>792</v>
      </c>
      <c r="C100" s="30" t="s">
        <v>792</v>
      </c>
      <c r="D100" s="30" t="s">
        <v>792</v>
      </c>
      <c r="E100" s="31" t="s">
        <v>45</v>
      </c>
      <c r="F100" s="35">
        <v>45746</v>
      </c>
      <c r="G100" s="30" t="str">
        <f t="shared" si="1"/>
        <v>March</v>
      </c>
      <c r="H100" s="32"/>
    </row>
    <row r="101" spans="1:8" x14ac:dyDescent="0.35">
      <c r="A101" s="29" t="s">
        <v>25</v>
      </c>
      <c r="B101" s="30" t="s">
        <v>792</v>
      </c>
      <c r="C101" s="30" t="s">
        <v>792</v>
      </c>
      <c r="D101" s="30" t="s">
        <v>792</v>
      </c>
      <c r="E101" s="31" t="s">
        <v>93</v>
      </c>
      <c r="F101" s="35">
        <v>45743</v>
      </c>
      <c r="G101" s="30" t="str">
        <f t="shared" si="1"/>
        <v>March</v>
      </c>
      <c r="H101" s="32"/>
    </row>
    <row r="102" spans="1:8" x14ac:dyDescent="0.35">
      <c r="A102" s="29" t="s">
        <v>25</v>
      </c>
      <c r="B102" s="30" t="s">
        <v>352</v>
      </c>
      <c r="C102" s="30">
        <v>4</v>
      </c>
      <c r="D102" s="30" t="s">
        <v>50</v>
      </c>
      <c r="E102" s="31" t="s">
        <v>93</v>
      </c>
      <c r="F102" s="35">
        <v>45735</v>
      </c>
      <c r="G102" s="30" t="str">
        <f t="shared" si="1"/>
        <v>March</v>
      </c>
      <c r="H102" s="32"/>
    </row>
    <row r="103" spans="1:8" x14ac:dyDescent="0.35">
      <c r="A103" s="29" t="s">
        <v>17</v>
      </c>
      <c r="B103" s="30" t="s">
        <v>49</v>
      </c>
      <c r="C103" s="30">
        <v>4</v>
      </c>
      <c r="D103" s="30" t="s">
        <v>50</v>
      </c>
      <c r="E103" s="31" t="s">
        <v>45</v>
      </c>
      <c r="F103" s="35">
        <v>45724</v>
      </c>
      <c r="G103" s="30" t="str">
        <f t="shared" si="1"/>
        <v>March</v>
      </c>
      <c r="H103" s="32"/>
    </row>
    <row r="104" spans="1:8" x14ac:dyDescent="0.35">
      <c r="A104" s="29" t="s">
        <v>17</v>
      </c>
      <c r="B104" s="30" t="s">
        <v>792</v>
      </c>
      <c r="C104" s="30" t="s">
        <v>792</v>
      </c>
      <c r="D104" s="30" t="s">
        <v>792</v>
      </c>
      <c r="E104" s="31" t="s">
        <v>45</v>
      </c>
      <c r="F104" s="35">
        <v>45724</v>
      </c>
      <c r="G104" s="30" t="str">
        <f t="shared" si="1"/>
        <v>March</v>
      </c>
      <c r="H104" s="32"/>
    </row>
    <row r="105" spans="1:8" x14ac:dyDescent="0.35">
      <c r="A105" s="29" t="s">
        <v>17</v>
      </c>
      <c r="B105" s="30" t="s">
        <v>176</v>
      </c>
      <c r="C105" s="30">
        <v>3</v>
      </c>
      <c r="D105" s="30" t="s">
        <v>68</v>
      </c>
      <c r="E105" s="31" t="s">
        <v>45</v>
      </c>
      <c r="F105" s="35">
        <v>45736</v>
      </c>
      <c r="G105" s="30" t="str">
        <f t="shared" si="1"/>
        <v>March</v>
      </c>
      <c r="H105" s="32"/>
    </row>
    <row r="106" spans="1:8" x14ac:dyDescent="0.35">
      <c r="A106" s="29" t="s">
        <v>25</v>
      </c>
      <c r="B106" s="30" t="s">
        <v>49</v>
      </c>
      <c r="C106" s="30">
        <v>4</v>
      </c>
      <c r="D106" s="30" t="s">
        <v>51</v>
      </c>
      <c r="E106" s="31" t="s">
        <v>93</v>
      </c>
      <c r="F106" s="35">
        <v>45719</v>
      </c>
      <c r="G106" s="30" t="str">
        <f t="shared" si="1"/>
        <v>March</v>
      </c>
      <c r="H106" s="32"/>
    </row>
    <row r="107" spans="1:8" x14ac:dyDescent="0.35">
      <c r="A107" s="29" t="s">
        <v>17</v>
      </c>
      <c r="B107" s="30" t="s">
        <v>658</v>
      </c>
      <c r="C107" s="30" t="s">
        <v>792</v>
      </c>
      <c r="D107" s="30" t="s">
        <v>51</v>
      </c>
      <c r="E107" s="31" t="s">
        <v>36</v>
      </c>
      <c r="F107" s="35">
        <v>45724</v>
      </c>
      <c r="G107" s="30" t="str">
        <f t="shared" si="1"/>
        <v>March</v>
      </c>
      <c r="H107" s="32"/>
    </row>
    <row r="108" spans="1:8" x14ac:dyDescent="0.35">
      <c r="A108" s="29" t="s">
        <v>17</v>
      </c>
      <c r="B108" s="30" t="s">
        <v>352</v>
      </c>
      <c r="C108" s="30">
        <v>4</v>
      </c>
      <c r="D108" s="30" t="s">
        <v>50</v>
      </c>
      <c r="E108" s="31" t="s">
        <v>45</v>
      </c>
      <c r="F108" s="35">
        <v>45717</v>
      </c>
      <c r="G108" s="30" t="str">
        <f t="shared" si="1"/>
        <v>March</v>
      </c>
      <c r="H108" s="32"/>
    </row>
    <row r="109" spans="1:8" x14ac:dyDescent="0.35">
      <c r="A109" s="29" t="s">
        <v>17</v>
      </c>
      <c r="B109" s="30" t="s">
        <v>792</v>
      </c>
      <c r="C109" s="30" t="s">
        <v>792</v>
      </c>
      <c r="D109" s="30" t="s">
        <v>792</v>
      </c>
      <c r="E109" s="31" t="s">
        <v>93</v>
      </c>
      <c r="F109" s="35">
        <v>45728</v>
      </c>
      <c r="G109" s="30" t="str">
        <f t="shared" si="1"/>
        <v>March</v>
      </c>
      <c r="H109" s="32"/>
    </row>
    <row r="110" spans="1:8" x14ac:dyDescent="0.35">
      <c r="A110" s="29" t="s">
        <v>17</v>
      </c>
      <c r="B110" s="30" t="s">
        <v>792</v>
      </c>
      <c r="C110" s="30" t="s">
        <v>792</v>
      </c>
      <c r="D110" s="30" t="s">
        <v>792</v>
      </c>
      <c r="E110" s="31" t="s">
        <v>26</v>
      </c>
      <c r="F110" s="35">
        <v>45722</v>
      </c>
      <c r="G110" s="30" t="str">
        <f t="shared" si="1"/>
        <v>March</v>
      </c>
      <c r="H110" s="32"/>
    </row>
    <row r="111" spans="1:8" x14ac:dyDescent="0.35">
      <c r="A111" s="29" t="s">
        <v>17</v>
      </c>
      <c r="B111" s="30" t="s">
        <v>49</v>
      </c>
      <c r="C111" s="30">
        <v>4</v>
      </c>
      <c r="D111" s="30" t="s">
        <v>51</v>
      </c>
      <c r="E111" s="31" t="s">
        <v>26</v>
      </c>
      <c r="F111" s="35">
        <v>45742</v>
      </c>
      <c r="G111" s="30" t="str">
        <f t="shared" si="1"/>
        <v>March</v>
      </c>
      <c r="H111" s="32"/>
    </row>
    <row r="112" spans="1:8" x14ac:dyDescent="0.35">
      <c r="A112" s="29" t="s">
        <v>25</v>
      </c>
      <c r="B112" s="30" t="s">
        <v>792</v>
      </c>
      <c r="C112" s="30" t="s">
        <v>792</v>
      </c>
      <c r="D112" s="30" t="s">
        <v>792</v>
      </c>
      <c r="E112" s="31" t="s">
        <v>57</v>
      </c>
      <c r="F112" s="35">
        <v>45726</v>
      </c>
      <c r="G112" s="30" t="str">
        <f t="shared" si="1"/>
        <v>March</v>
      </c>
      <c r="H112" s="32"/>
    </row>
    <row r="113" spans="1:8" x14ac:dyDescent="0.35">
      <c r="A113" s="29" t="s">
        <v>17</v>
      </c>
      <c r="B113" s="30" t="s">
        <v>791</v>
      </c>
      <c r="C113" s="30">
        <v>5</v>
      </c>
      <c r="D113" s="30" t="s">
        <v>50</v>
      </c>
      <c r="E113" s="31" t="s">
        <v>36</v>
      </c>
      <c r="F113" s="35">
        <v>45746</v>
      </c>
      <c r="G113" s="30" t="str">
        <f t="shared" si="1"/>
        <v>March</v>
      </c>
      <c r="H113" s="32"/>
    </row>
    <row r="114" spans="1:8" x14ac:dyDescent="0.35">
      <c r="A114" s="29" t="s">
        <v>25</v>
      </c>
      <c r="B114" s="30" t="s">
        <v>352</v>
      </c>
      <c r="C114" s="30">
        <v>4</v>
      </c>
      <c r="D114" s="30" t="s">
        <v>68</v>
      </c>
      <c r="E114" s="31" t="s">
        <v>93</v>
      </c>
      <c r="F114" s="35">
        <v>45717</v>
      </c>
      <c r="G114" s="30" t="str">
        <f t="shared" si="1"/>
        <v>March</v>
      </c>
      <c r="H114" s="32"/>
    </row>
    <row r="115" spans="1:8" x14ac:dyDescent="0.35">
      <c r="A115" s="29" t="s">
        <v>17</v>
      </c>
      <c r="B115" s="30" t="s">
        <v>176</v>
      </c>
      <c r="C115" s="30">
        <v>2</v>
      </c>
      <c r="D115" s="30" t="s">
        <v>68</v>
      </c>
      <c r="E115" s="31" t="s">
        <v>45</v>
      </c>
      <c r="F115" s="35">
        <v>45726</v>
      </c>
      <c r="G115" s="30" t="str">
        <f t="shared" si="1"/>
        <v>March</v>
      </c>
      <c r="H115" s="32"/>
    </row>
    <row r="116" spans="1:8" x14ac:dyDescent="0.35">
      <c r="A116" s="29" t="s">
        <v>17</v>
      </c>
      <c r="B116" s="30" t="s">
        <v>792</v>
      </c>
      <c r="C116" s="30" t="s">
        <v>792</v>
      </c>
      <c r="D116" s="30" t="s">
        <v>792</v>
      </c>
      <c r="E116" s="31" t="s">
        <v>45</v>
      </c>
      <c r="F116" s="35">
        <v>45738</v>
      </c>
      <c r="G116" s="30" t="str">
        <f t="shared" si="1"/>
        <v>March</v>
      </c>
      <c r="H116" s="32"/>
    </row>
    <row r="117" spans="1:8" x14ac:dyDescent="0.35">
      <c r="A117" s="29" t="s">
        <v>17</v>
      </c>
      <c r="B117" s="30" t="s">
        <v>792</v>
      </c>
      <c r="C117" s="30" t="s">
        <v>792</v>
      </c>
      <c r="D117" s="30" t="s">
        <v>792</v>
      </c>
      <c r="E117" s="31" t="s">
        <v>36</v>
      </c>
      <c r="F117" s="35">
        <v>45745</v>
      </c>
      <c r="G117" s="30" t="str">
        <f t="shared" si="1"/>
        <v>March</v>
      </c>
      <c r="H117" s="32"/>
    </row>
    <row r="118" spans="1:8" x14ac:dyDescent="0.35">
      <c r="A118" s="29" t="s">
        <v>17</v>
      </c>
      <c r="B118" s="30" t="s">
        <v>352</v>
      </c>
      <c r="C118" s="30">
        <v>3</v>
      </c>
      <c r="D118" s="30" t="s">
        <v>68</v>
      </c>
      <c r="E118" s="31" t="s">
        <v>45</v>
      </c>
      <c r="F118" s="35">
        <v>45737</v>
      </c>
      <c r="G118" s="30" t="str">
        <f t="shared" si="1"/>
        <v>March</v>
      </c>
      <c r="H118" s="32"/>
    </row>
    <row r="119" spans="1:8" x14ac:dyDescent="0.35">
      <c r="A119" s="29" t="s">
        <v>17</v>
      </c>
      <c r="B119" s="30" t="s">
        <v>792</v>
      </c>
      <c r="C119" s="30" t="s">
        <v>792</v>
      </c>
      <c r="D119" s="30" t="s">
        <v>792</v>
      </c>
      <c r="E119" s="31" t="s">
        <v>93</v>
      </c>
      <c r="F119" s="35">
        <v>45739</v>
      </c>
      <c r="G119" s="30" t="str">
        <f t="shared" si="1"/>
        <v>March</v>
      </c>
      <c r="H119" s="32"/>
    </row>
    <row r="120" spans="1:8" x14ac:dyDescent="0.35">
      <c r="A120" s="29" t="s">
        <v>17</v>
      </c>
      <c r="B120" s="30" t="s">
        <v>49</v>
      </c>
      <c r="C120" s="30">
        <v>5</v>
      </c>
      <c r="D120" s="30" t="s">
        <v>50</v>
      </c>
      <c r="E120" s="31" t="s">
        <v>36</v>
      </c>
      <c r="F120" s="35">
        <v>45724</v>
      </c>
      <c r="G120" s="30" t="str">
        <f t="shared" si="1"/>
        <v>March</v>
      </c>
      <c r="H120" s="32"/>
    </row>
    <row r="121" spans="1:8" x14ac:dyDescent="0.35">
      <c r="A121" s="29" t="s">
        <v>17</v>
      </c>
      <c r="B121" s="30" t="s">
        <v>49</v>
      </c>
      <c r="C121" s="30">
        <v>5</v>
      </c>
      <c r="D121" s="30" t="s">
        <v>50</v>
      </c>
      <c r="E121" s="31" t="s">
        <v>36</v>
      </c>
      <c r="F121" s="35">
        <v>45725</v>
      </c>
      <c r="G121" s="30" t="str">
        <f t="shared" si="1"/>
        <v>March</v>
      </c>
      <c r="H121" s="32"/>
    </row>
    <row r="122" spans="1:8" x14ac:dyDescent="0.35">
      <c r="A122" s="29" t="s">
        <v>25</v>
      </c>
      <c r="B122" s="30" t="s">
        <v>792</v>
      </c>
      <c r="C122" s="30" t="s">
        <v>792</v>
      </c>
      <c r="D122" s="30" t="s">
        <v>792</v>
      </c>
      <c r="E122" s="31" t="s">
        <v>36</v>
      </c>
      <c r="F122" s="35">
        <v>45746</v>
      </c>
      <c r="G122" s="30" t="str">
        <f t="shared" si="1"/>
        <v>March</v>
      </c>
      <c r="H122" s="32"/>
    </row>
    <row r="123" spans="1:8" x14ac:dyDescent="0.35">
      <c r="A123" s="29" t="s">
        <v>25</v>
      </c>
      <c r="B123" s="30" t="s">
        <v>792</v>
      </c>
      <c r="C123" s="30" t="s">
        <v>792</v>
      </c>
      <c r="D123" s="30" t="s">
        <v>792</v>
      </c>
      <c r="E123" s="31" t="s">
        <v>57</v>
      </c>
      <c r="F123" s="35">
        <v>45744</v>
      </c>
      <c r="G123" s="30" t="str">
        <f t="shared" si="1"/>
        <v>March</v>
      </c>
      <c r="H123" s="32"/>
    </row>
    <row r="124" spans="1:8" x14ac:dyDescent="0.35">
      <c r="A124" s="29" t="s">
        <v>17</v>
      </c>
      <c r="B124" s="30" t="s">
        <v>792</v>
      </c>
      <c r="C124" s="30" t="s">
        <v>792</v>
      </c>
      <c r="D124" s="30" t="s">
        <v>792</v>
      </c>
      <c r="E124" s="31" t="s">
        <v>57</v>
      </c>
      <c r="F124" s="35">
        <v>45746</v>
      </c>
      <c r="G124" s="30" t="str">
        <f t="shared" si="1"/>
        <v>March</v>
      </c>
      <c r="H124" s="32"/>
    </row>
    <row r="125" spans="1:8" x14ac:dyDescent="0.35">
      <c r="A125" s="29" t="s">
        <v>25</v>
      </c>
      <c r="B125" s="30" t="s">
        <v>352</v>
      </c>
      <c r="C125" s="30">
        <v>3</v>
      </c>
      <c r="D125" s="30" t="s">
        <v>68</v>
      </c>
      <c r="E125" s="31" t="s">
        <v>57</v>
      </c>
      <c r="F125" s="35">
        <v>45745</v>
      </c>
      <c r="G125" s="30" t="str">
        <f t="shared" si="1"/>
        <v>March</v>
      </c>
      <c r="H125" s="32"/>
    </row>
    <row r="126" spans="1:8" x14ac:dyDescent="0.35">
      <c r="A126" s="29" t="s">
        <v>17</v>
      </c>
      <c r="B126" s="30" t="s">
        <v>792</v>
      </c>
      <c r="C126" s="30" t="s">
        <v>792</v>
      </c>
      <c r="D126" s="30" t="s">
        <v>792</v>
      </c>
      <c r="E126" s="31" t="s">
        <v>26</v>
      </c>
      <c r="F126" s="35">
        <v>45739</v>
      </c>
      <c r="G126" s="30" t="str">
        <f t="shared" si="1"/>
        <v>March</v>
      </c>
      <c r="H126" s="32"/>
    </row>
    <row r="127" spans="1:8" x14ac:dyDescent="0.35">
      <c r="A127" s="29" t="s">
        <v>17</v>
      </c>
      <c r="B127" s="30" t="s">
        <v>792</v>
      </c>
      <c r="C127" s="30" t="s">
        <v>792</v>
      </c>
      <c r="D127" s="30" t="s">
        <v>792</v>
      </c>
      <c r="E127" s="31" t="s">
        <v>45</v>
      </c>
      <c r="F127" s="35">
        <v>45741</v>
      </c>
      <c r="G127" s="30" t="str">
        <f t="shared" si="1"/>
        <v>March</v>
      </c>
      <c r="H127" s="32"/>
    </row>
    <row r="128" spans="1:8" x14ac:dyDescent="0.35">
      <c r="A128" s="29" t="s">
        <v>17</v>
      </c>
      <c r="B128" s="30" t="s">
        <v>792</v>
      </c>
      <c r="C128" s="30" t="s">
        <v>792</v>
      </c>
      <c r="D128" s="30" t="s">
        <v>792</v>
      </c>
      <c r="E128" s="31" t="s">
        <v>93</v>
      </c>
      <c r="F128" s="35">
        <v>45738</v>
      </c>
      <c r="G128" s="30" t="str">
        <f t="shared" si="1"/>
        <v>March</v>
      </c>
      <c r="H128" s="32"/>
    </row>
    <row r="129" spans="1:8" x14ac:dyDescent="0.35">
      <c r="A129" s="29" t="s">
        <v>17</v>
      </c>
      <c r="B129" s="30" t="s">
        <v>176</v>
      </c>
      <c r="C129" s="30">
        <v>2</v>
      </c>
      <c r="D129" s="30" t="s">
        <v>68</v>
      </c>
      <c r="E129" s="31" t="s">
        <v>93</v>
      </c>
      <c r="F129" s="35">
        <v>45741</v>
      </c>
      <c r="G129" s="30" t="str">
        <f t="shared" si="1"/>
        <v>March</v>
      </c>
      <c r="H129" s="32"/>
    </row>
    <row r="130" spans="1:8" x14ac:dyDescent="0.35">
      <c r="A130" s="29" t="s">
        <v>17</v>
      </c>
      <c r="B130" s="30" t="s">
        <v>176</v>
      </c>
      <c r="C130" s="30">
        <v>2</v>
      </c>
      <c r="D130" s="30" t="s">
        <v>68</v>
      </c>
      <c r="E130" s="31" t="s">
        <v>93</v>
      </c>
      <c r="F130" s="35">
        <v>45741</v>
      </c>
      <c r="G130" s="30" t="str">
        <f t="shared" si="1"/>
        <v>March</v>
      </c>
      <c r="H130" s="32"/>
    </row>
    <row r="131" spans="1:8" x14ac:dyDescent="0.35">
      <c r="A131" s="29" t="s">
        <v>17</v>
      </c>
      <c r="B131" s="30" t="s">
        <v>176</v>
      </c>
      <c r="C131" s="30">
        <v>3</v>
      </c>
      <c r="D131" s="30" t="s">
        <v>51</v>
      </c>
      <c r="E131" s="31" t="s">
        <v>93</v>
      </c>
      <c r="F131" s="35">
        <v>45744</v>
      </c>
      <c r="G131" s="30" t="str">
        <f t="shared" ref="G131" si="2">TEXT(F131, "mmmm")</f>
        <v>March</v>
      </c>
      <c r="H131" s="32"/>
    </row>
  </sheetData>
  <autoFilter ref="A1:H131" xr:uid="{CBDE5091-4599-4B14-9ABA-6C174826EBA7}"/>
  <mergeCells count="3">
    <mergeCell ref="H2:H43"/>
    <mergeCell ref="H44:H90"/>
    <mergeCell ref="H91:H131"/>
  </mergeCells>
  <dataValidations count="2">
    <dataValidation type="list" allowBlank="1" showInputMessage="1" showErrorMessage="1" errorTitle="Invalid Column Value" error="Please select a valid option" promptTitle="Select option from List" prompt="M_x000a_F_x000a_T_x000a_" sqref="A2:A131" xr:uid="{C7309E7D-FC2D-4371-A7BA-70382351737F}">
      <formula1>Gender</formula1>
    </dataValidation>
    <dataValidation type="date" allowBlank="1" showInputMessage="1" showErrorMessage="1" errorTitle="Invalid Column Value" error="Termination Date Date must be between 01-Jan-2000 And 01-Jan-2050" prompt="Termination Date Date between 01-Jan-2000 And 01-Jan-2050" sqref="F2:F131" xr:uid="{C40EFBF3-61BD-497A-B5F1-DFDDA7389C17}">
      <formula1>36526</formula1>
      <formula2>54789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E500-0B6C-489E-ADC3-3A3612368526}">
  <dimension ref="A3:B97"/>
  <sheetViews>
    <sheetView tabSelected="1" topLeftCell="A52" zoomScale="90" zoomScaleNormal="90" workbookViewId="0">
      <selection activeCell="A58" sqref="A58"/>
    </sheetView>
  </sheetViews>
  <sheetFormatPr defaultRowHeight="14.5" x14ac:dyDescent="0.35"/>
  <cols>
    <col min="1" max="1" width="19.54296875" bestFit="1" customWidth="1"/>
    <col min="2" max="2" width="6.08984375" bestFit="1" customWidth="1"/>
  </cols>
  <sheetData>
    <row r="3" spans="1:2" x14ac:dyDescent="0.35">
      <c r="A3" s="10" t="s">
        <v>5</v>
      </c>
      <c r="B3" t="s">
        <v>805</v>
      </c>
    </row>
    <row r="4" spans="1:2" x14ac:dyDescent="0.35">
      <c r="A4" s="11" t="s">
        <v>25</v>
      </c>
      <c r="B4" s="37">
        <v>40</v>
      </c>
    </row>
    <row r="5" spans="1:2" x14ac:dyDescent="0.35">
      <c r="A5" s="11" t="s">
        <v>17</v>
      </c>
      <c r="B5" s="37">
        <v>90</v>
      </c>
    </row>
    <row r="6" spans="1:2" x14ac:dyDescent="0.35">
      <c r="A6" s="11" t="s">
        <v>794</v>
      </c>
      <c r="B6" s="37">
        <v>130</v>
      </c>
    </row>
    <row r="17" spans="1:2" x14ac:dyDescent="0.35">
      <c r="A17" s="10" t="s">
        <v>804</v>
      </c>
      <c r="B17" t="s">
        <v>805</v>
      </c>
    </row>
    <row r="18" spans="1:2" x14ac:dyDescent="0.35">
      <c r="A18" s="11" t="s">
        <v>561</v>
      </c>
      <c r="B18" s="37">
        <v>1</v>
      </c>
    </row>
    <row r="19" spans="1:2" x14ac:dyDescent="0.35">
      <c r="A19" s="11" t="s">
        <v>658</v>
      </c>
      <c r="B19" s="37">
        <v>1</v>
      </c>
    </row>
    <row r="20" spans="1:2" x14ac:dyDescent="0.35">
      <c r="A20" s="11" t="s">
        <v>557</v>
      </c>
      <c r="B20" s="37">
        <v>2</v>
      </c>
    </row>
    <row r="21" spans="1:2" x14ac:dyDescent="0.35">
      <c r="A21" s="11" t="s">
        <v>60</v>
      </c>
      <c r="B21" s="37">
        <v>2</v>
      </c>
    </row>
    <row r="22" spans="1:2" x14ac:dyDescent="0.35">
      <c r="A22" s="11" t="s">
        <v>115</v>
      </c>
      <c r="B22" s="37">
        <v>3</v>
      </c>
    </row>
    <row r="23" spans="1:2" x14ac:dyDescent="0.35">
      <c r="A23" s="11" t="s">
        <v>133</v>
      </c>
      <c r="B23" s="37">
        <v>3</v>
      </c>
    </row>
    <row r="24" spans="1:2" x14ac:dyDescent="0.35">
      <c r="A24" s="11" t="s">
        <v>556</v>
      </c>
      <c r="B24" s="37">
        <v>4</v>
      </c>
    </row>
    <row r="25" spans="1:2" x14ac:dyDescent="0.35">
      <c r="A25" s="11" t="s">
        <v>352</v>
      </c>
      <c r="B25" s="37">
        <v>7</v>
      </c>
    </row>
    <row r="26" spans="1:2" x14ac:dyDescent="0.35">
      <c r="A26" s="11" t="s">
        <v>96</v>
      </c>
      <c r="B26" s="37">
        <v>11</v>
      </c>
    </row>
    <row r="27" spans="1:2" x14ac:dyDescent="0.35">
      <c r="A27" s="11" t="s">
        <v>176</v>
      </c>
      <c r="B27" s="37">
        <v>12</v>
      </c>
    </row>
    <row r="28" spans="1:2" x14ac:dyDescent="0.35">
      <c r="A28" s="11" t="s">
        <v>49</v>
      </c>
      <c r="B28" s="37">
        <v>24</v>
      </c>
    </row>
    <row r="29" spans="1:2" x14ac:dyDescent="0.35">
      <c r="A29" s="11" t="s">
        <v>792</v>
      </c>
      <c r="B29" s="37">
        <v>60</v>
      </c>
    </row>
    <row r="30" spans="1:2" x14ac:dyDescent="0.35">
      <c r="A30" s="11" t="s">
        <v>794</v>
      </c>
      <c r="B30" s="37">
        <v>130</v>
      </c>
    </row>
    <row r="41" spans="1:2" x14ac:dyDescent="0.35">
      <c r="A41" s="10" t="s">
        <v>790</v>
      </c>
      <c r="B41" t="s">
        <v>805</v>
      </c>
    </row>
    <row r="42" spans="1:2" x14ac:dyDescent="0.35">
      <c r="A42" s="11">
        <v>5</v>
      </c>
      <c r="B42" s="37">
        <v>9</v>
      </c>
    </row>
    <row r="43" spans="1:2" x14ac:dyDescent="0.35">
      <c r="A43" s="11">
        <v>2</v>
      </c>
      <c r="B43" s="37">
        <v>9</v>
      </c>
    </row>
    <row r="44" spans="1:2" x14ac:dyDescent="0.35">
      <c r="A44" s="11">
        <v>4</v>
      </c>
      <c r="B44" s="37">
        <v>25</v>
      </c>
    </row>
    <row r="45" spans="1:2" x14ac:dyDescent="0.35">
      <c r="A45" s="11">
        <v>3</v>
      </c>
      <c r="B45" s="37">
        <v>25</v>
      </c>
    </row>
    <row r="46" spans="1:2" x14ac:dyDescent="0.35">
      <c r="A46" s="11" t="s">
        <v>792</v>
      </c>
      <c r="B46" s="37">
        <v>62</v>
      </c>
    </row>
    <row r="47" spans="1:2" x14ac:dyDescent="0.35">
      <c r="A47" s="11" t="s">
        <v>794</v>
      </c>
      <c r="B47" s="37">
        <v>130</v>
      </c>
    </row>
    <row r="58" spans="1:2" x14ac:dyDescent="0.35">
      <c r="A58" s="10" t="s">
        <v>806</v>
      </c>
      <c r="B58" t="s">
        <v>805</v>
      </c>
    </row>
    <row r="59" spans="1:2" x14ac:dyDescent="0.35">
      <c r="A59" s="11" t="s">
        <v>559</v>
      </c>
      <c r="B59" s="37">
        <v>2</v>
      </c>
    </row>
    <row r="60" spans="1:2" x14ac:dyDescent="0.35">
      <c r="A60" s="11" t="s">
        <v>51</v>
      </c>
      <c r="B60" s="37">
        <v>16</v>
      </c>
    </row>
    <row r="61" spans="1:2" x14ac:dyDescent="0.35">
      <c r="A61" s="11" t="s">
        <v>50</v>
      </c>
      <c r="B61" s="37">
        <v>21</v>
      </c>
    </row>
    <row r="62" spans="1:2" x14ac:dyDescent="0.35">
      <c r="A62" s="11" t="s">
        <v>68</v>
      </c>
      <c r="B62" s="37">
        <v>31</v>
      </c>
    </row>
    <row r="63" spans="1:2" x14ac:dyDescent="0.35">
      <c r="A63" s="11" t="s">
        <v>792</v>
      </c>
      <c r="B63" s="37">
        <v>60</v>
      </c>
    </row>
    <row r="64" spans="1:2" x14ac:dyDescent="0.35">
      <c r="A64" s="11" t="s">
        <v>794</v>
      </c>
      <c r="B64" s="37">
        <v>130</v>
      </c>
    </row>
    <row r="76" spans="1:2" x14ac:dyDescent="0.35">
      <c r="A76" s="10" t="s">
        <v>807</v>
      </c>
      <c r="B76" t="s">
        <v>805</v>
      </c>
    </row>
    <row r="77" spans="1:2" x14ac:dyDescent="0.35">
      <c r="A77" s="11" t="s">
        <v>57</v>
      </c>
      <c r="B77" s="37">
        <v>19</v>
      </c>
    </row>
    <row r="78" spans="1:2" x14ac:dyDescent="0.35">
      <c r="A78" s="11" t="s">
        <v>45</v>
      </c>
      <c r="B78" s="37">
        <v>25</v>
      </c>
    </row>
    <row r="79" spans="1:2" x14ac:dyDescent="0.35">
      <c r="A79" s="11" t="s">
        <v>26</v>
      </c>
      <c r="B79" s="37">
        <v>27</v>
      </c>
    </row>
    <row r="80" spans="1:2" x14ac:dyDescent="0.35">
      <c r="A80" s="11" t="s">
        <v>36</v>
      </c>
      <c r="B80" s="37">
        <v>27</v>
      </c>
    </row>
    <row r="81" spans="1:2" x14ac:dyDescent="0.35">
      <c r="A81" s="11" t="s">
        <v>93</v>
      </c>
      <c r="B81" s="37">
        <v>32</v>
      </c>
    </row>
    <row r="82" spans="1:2" x14ac:dyDescent="0.35">
      <c r="A82" s="11" t="s">
        <v>794</v>
      </c>
      <c r="B82" s="37">
        <v>130</v>
      </c>
    </row>
    <row r="93" spans="1:2" x14ac:dyDescent="0.35">
      <c r="A93" s="10" t="s">
        <v>793</v>
      </c>
      <c r="B93" t="s">
        <v>803</v>
      </c>
    </row>
    <row r="94" spans="1:2" x14ac:dyDescent="0.35">
      <c r="A94" s="11" t="s">
        <v>802</v>
      </c>
      <c r="B94" s="37">
        <v>41</v>
      </c>
    </row>
    <row r="95" spans="1:2" x14ac:dyDescent="0.35">
      <c r="A95" s="11" t="s">
        <v>800</v>
      </c>
      <c r="B95" s="37">
        <v>42</v>
      </c>
    </row>
    <row r="96" spans="1:2" x14ac:dyDescent="0.35">
      <c r="A96" s="11" t="s">
        <v>801</v>
      </c>
      <c r="B96" s="37">
        <v>47</v>
      </c>
    </row>
    <row r="97" spans="1:2" x14ac:dyDescent="0.35">
      <c r="A97" s="11" t="s">
        <v>794</v>
      </c>
      <c r="B97" s="37">
        <v>130</v>
      </c>
    </row>
  </sheetData>
  <pageMargins left="0.7" right="0.7" top="0.75" bottom="0.75" header="0.3" footer="0.3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8482-AF7F-472F-8637-6B4B39DA51A0}">
  <dimension ref="A1:N70"/>
  <sheetViews>
    <sheetView topLeftCell="A53" zoomScale="103" zoomScaleNormal="80" workbookViewId="0">
      <selection activeCell="D36" sqref="D36"/>
    </sheetView>
  </sheetViews>
  <sheetFormatPr defaultRowHeight="14.5" x14ac:dyDescent="0.35"/>
  <cols>
    <col min="1" max="1" width="30.7265625" bestFit="1" customWidth="1"/>
    <col min="2" max="2" width="19.7265625" bestFit="1" customWidth="1"/>
    <col min="3" max="4" width="2.90625" bestFit="1" customWidth="1"/>
    <col min="5" max="5" width="1.81640625" bestFit="1" customWidth="1"/>
    <col min="6" max="6" width="11" bestFit="1" customWidth="1"/>
    <col min="7" max="7" width="10.7265625" bestFit="1" customWidth="1"/>
    <col min="8" max="8" width="17.26953125" bestFit="1" customWidth="1"/>
    <col min="9" max="9" width="8.453125" bestFit="1" customWidth="1"/>
    <col min="10" max="10" width="11" bestFit="1" customWidth="1"/>
    <col min="11" max="11" width="21.1796875" bestFit="1" customWidth="1"/>
    <col min="12" max="12" width="15.1796875" bestFit="1" customWidth="1"/>
    <col min="13" max="13" width="14.81640625" bestFit="1" customWidth="1"/>
    <col min="14" max="14" width="10.7265625" bestFit="1" customWidth="1"/>
  </cols>
  <sheetData>
    <row r="1" spans="1:7" x14ac:dyDescent="0.35">
      <c r="A1" s="33" t="s">
        <v>798</v>
      </c>
      <c r="B1" s="33" t="s">
        <v>809</v>
      </c>
      <c r="C1" s="27"/>
      <c r="D1" s="27"/>
      <c r="E1" s="27"/>
      <c r="F1" s="27"/>
      <c r="G1" s="27"/>
    </row>
    <row r="2" spans="1:7" x14ac:dyDescent="0.35">
      <c r="A2" s="33" t="s">
        <v>793</v>
      </c>
      <c r="B2" s="27">
        <v>2</v>
      </c>
      <c r="C2" s="27">
        <v>3</v>
      </c>
      <c r="D2" s="27">
        <v>4</v>
      </c>
      <c r="E2" s="27">
        <v>5</v>
      </c>
      <c r="F2" s="27" t="s">
        <v>792</v>
      </c>
      <c r="G2" s="27" t="s">
        <v>794</v>
      </c>
    </row>
    <row r="3" spans="1:7" x14ac:dyDescent="0.35">
      <c r="A3" s="27" t="s">
        <v>557</v>
      </c>
      <c r="B3" s="38"/>
      <c r="C3" s="38"/>
      <c r="D3" s="38">
        <v>1</v>
      </c>
      <c r="E3" s="38">
        <v>1</v>
      </c>
      <c r="F3" s="38"/>
      <c r="G3" s="38">
        <v>2</v>
      </c>
    </row>
    <row r="4" spans="1:7" x14ac:dyDescent="0.35">
      <c r="A4" s="27" t="s">
        <v>60</v>
      </c>
      <c r="B4" s="38"/>
      <c r="C4" s="38"/>
      <c r="D4" s="38"/>
      <c r="E4" s="38">
        <v>2</v>
      </c>
      <c r="F4" s="38"/>
      <c r="G4" s="38">
        <v>2</v>
      </c>
    </row>
    <row r="5" spans="1:7" x14ac:dyDescent="0.35">
      <c r="A5" s="27" t="s">
        <v>792</v>
      </c>
      <c r="B5" s="38"/>
      <c r="C5" s="38"/>
      <c r="D5" s="38"/>
      <c r="E5" s="38"/>
      <c r="F5" s="38">
        <v>60</v>
      </c>
      <c r="G5" s="38">
        <v>60</v>
      </c>
    </row>
    <row r="6" spans="1:7" x14ac:dyDescent="0.35">
      <c r="A6" s="27" t="s">
        <v>115</v>
      </c>
      <c r="B6" s="38"/>
      <c r="C6" s="38"/>
      <c r="D6" s="38">
        <v>1</v>
      </c>
      <c r="E6" s="38">
        <v>2</v>
      </c>
      <c r="F6" s="38"/>
      <c r="G6" s="38">
        <v>3</v>
      </c>
    </row>
    <row r="7" spans="1:7" x14ac:dyDescent="0.35">
      <c r="A7" s="27" t="s">
        <v>561</v>
      </c>
      <c r="B7" s="38">
        <v>1</v>
      </c>
      <c r="C7" s="38"/>
      <c r="D7" s="38"/>
      <c r="E7" s="38"/>
      <c r="F7" s="38"/>
      <c r="G7" s="38">
        <v>1</v>
      </c>
    </row>
    <row r="8" spans="1:7" x14ac:dyDescent="0.35">
      <c r="A8" s="27" t="s">
        <v>133</v>
      </c>
      <c r="B8" s="38"/>
      <c r="C8" s="38"/>
      <c r="D8" s="38">
        <v>3</v>
      </c>
      <c r="E8" s="38"/>
      <c r="F8" s="38"/>
      <c r="G8" s="38">
        <v>3</v>
      </c>
    </row>
    <row r="9" spans="1:7" x14ac:dyDescent="0.35">
      <c r="A9" s="27" t="s">
        <v>658</v>
      </c>
      <c r="B9" s="38"/>
      <c r="C9" s="38"/>
      <c r="D9" s="38"/>
      <c r="E9" s="38"/>
      <c r="F9" s="38">
        <v>1</v>
      </c>
      <c r="G9" s="38">
        <v>1</v>
      </c>
    </row>
    <row r="10" spans="1:7" x14ac:dyDescent="0.35">
      <c r="A10" s="27" t="s">
        <v>352</v>
      </c>
      <c r="B10" s="38"/>
      <c r="C10" s="38">
        <v>2</v>
      </c>
      <c r="D10" s="38">
        <v>4</v>
      </c>
      <c r="E10" s="38">
        <v>1</v>
      </c>
      <c r="F10" s="38"/>
      <c r="G10" s="38">
        <v>7</v>
      </c>
    </row>
    <row r="11" spans="1:7" x14ac:dyDescent="0.35">
      <c r="A11" s="27" t="s">
        <v>556</v>
      </c>
      <c r="B11" s="38">
        <v>1</v>
      </c>
      <c r="C11" s="38">
        <v>3</v>
      </c>
      <c r="D11" s="38"/>
      <c r="E11" s="38"/>
      <c r="F11" s="38"/>
      <c r="G11" s="38">
        <v>4</v>
      </c>
    </row>
    <row r="12" spans="1:7" x14ac:dyDescent="0.35">
      <c r="A12" s="27" t="s">
        <v>49</v>
      </c>
      <c r="B12" s="38">
        <v>1</v>
      </c>
      <c r="C12" s="38">
        <v>5</v>
      </c>
      <c r="D12" s="38">
        <v>14</v>
      </c>
      <c r="E12" s="38">
        <v>3</v>
      </c>
      <c r="F12" s="38">
        <v>1</v>
      </c>
      <c r="G12" s="38">
        <v>24</v>
      </c>
    </row>
    <row r="13" spans="1:7" x14ac:dyDescent="0.35">
      <c r="A13" s="27" t="s">
        <v>176</v>
      </c>
      <c r="B13" s="38">
        <v>3</v>
      </c>
      <c r="C13" s="38">
        <v>7</v>
      </c>
      <c r="D13" s="38">
        <v>2</v>
      </c>
      <c r="E13" s="38"/>
      <c r="F13" s="38"/>
      <c r="G13" s="38">
        <v>12</v>
      </c>
    </row>
    <row r="14" spans="1:7" x14ac:dyDescent="0.35">
      <c r="A14" s="27" t="s">
        <v>96</v>
      </c>
      <c r="B14" s="38">
        <v>3</v>
      </c>
      <c r="C14" s="38">
        <v>8</v>
      </c>
      <c r="D14" s="38"/>
      <c r="E14" s="38"/>
      <c r="F14" s="38"/>
      <c r="G14" s="38">
        <v>11</v>
      </c>
    </row>
    <row r="15" spans="1:7" x14ac:dyDescent="0.35">
      <c r="A15" s="27" t="s">
        <v>794</v>
      </c>
      <c r="B15" s="38">
        <v>9</v>
      </c>
      <c r="C15" s="38">
        <v>25</v>
      </c>
      <c r="D15" s="38">
        <v>25</v>
      </c>
      <c r="E15" s="38">
        <v>9</v>
      </c>
      <c r="F15" s="38">
        <v>62</v>
      </c>
      <c r="G15" s="38">
        <v>130</v>
      </c>
    </row>
    <row r="36" spans="1:7" x14ac:dyDescent="0.35">
      <c r="A36" s="10" t="s">
        <v>795</v>
      </c>
      <c r="B36" s="10" t="s">
        <v>808</v>
      </c>
    </row>
    <row r="37" spans="1:7" x14ac:dyDescent="0.35">
      <c r="A37" s="10" t="s">
        <v>793</v>
      </c>
      <c r="B37" t="s">
        <v>51</v>
      </c>
      <c r="C37" t="s">
        <v>68</v>
      </c>
      <c r="D37" t="s">
        <v>559</v>
      </c>
      <c r="E37" t="s">
        <v>792</v>
      </c>
      <c r="F37" t="s">
        <v>50</v>
      </c>
      <c r="G37" t="s">
        <v>794</v>
      </c>
    </row>
    <row r="38" spans="1:7" x14ac:dyDescent="0.35">
      <c r="A38" s="11">
        <v>2</v>
      </c>
      <c r="B38" s="37">
        <v>1</v>
      </c>
      <c r="C38" s="37">
        <v>7</v>
      </c>
      <c r="D38" s="37">
        <v>1</v>
      </c>
      <c r="E38" s="37"/>
      <c r="F38" s="37"/>
      <c r="G38" s="37">
        <v>9</v>
      </c>
    </row>
    <row r="39" spans="1:7" x14ac:dyDescent="0.35">
      <c r="A39" s="11" t="s">
        <v>792</v>
      </c>
      <c r="B39" s="37">
        <v>1</v>
      </c>
      <c r="C39" s="37">
        <v>1</v>
      </c>
      <c r="D39" s="37"/>
      <c r="E39" s="37">
        <v>60</v>
      </c>
      <c r="F39" s="37"/>
      <c r="G39" s="37">
        <v>62</v>
      </c>
    </row>
    <row r="40" spans="1:7" x14ac:dyDescent="0.35">
      <c r="A40" s="11">
        <v>3</v>
      </c>
      <c r="B40" s="37">
        <v>5</v>
      </c>
      <c r="C40" s="37">
        <v>19</v>
      </c>
      <c r="D40" s="37"/>
      <c r="E40" s="37"/>
      <c r="F40" s="37">
        <v>1</v>
      </c>
      <c r="G40" s="37">
        <v>25</v>
      </c>
    </row>
    <row r="41" spans="1:7" x14ac:dyDescent="0.35">
      <c r="A41" s="11">
        <v>5</v>
      </c>
      <c r="B41" s="37"/>
      <c r="C41" s="37">
        <v>1</v>
      </c>
      <c r="D41" s="37"/>
      <c r="E41" s="37"/>
      <c r="F41" s="37">
        <v>8</v>
      </c>
      <c r="G41" s="37">
        <v>9</v>
      </c>
    </row>
    <row r="42" spans="1:7" x14ac:dyDescent="0.35">
      <c r="A42" s="11">
        <v>4</v>
      </c>
      <c r="B42" s="37">
        <v>9</v>
      </c>
      <c r="C42" s="37">
        <v>3</v>
      </c>
      <c r="D42" s="37">
        <v>1</v>
      </c>
      <c r="E42" s="37"/>
      <c r="F42" s="37">
        <v>12</v>
      </c>
      <c r="G42" s="37">
        <v>25</v>
      </c>
    </row>
    <row r="43" spans="1:7" x14ac:dyDescent="0.35">
      <c r="A43" s="11" t="s">
        <v>794</v>
      </c>
      <c r="B43" s="37">
        <v>16</v>
      </c>
      <c r="C43" s="37">
        <v>31</v>
      </c>
      <c r="D43" s="37">
        <v>2</v>
      </c>
      <c r="E43" s="37">
        <v>60</v>
      </c>
      <c r="F43" s="37">
        <v>21</v>
      </c>
      <c r="G43" s="37">
        <v>130</v>
      </c>
    </row>
    <row r="63" spans="1:14" x14ac:dyDescent="0.35">
      <c r="A63" s="10" t="s">
        <v>795</v>
      </c>
      <c r="B63" s="10" t="s">
        <v>808</v>
      </c>
    </row>
    <row r="64" spans="1:14" x14ac:dyDescent="0.35">
      <c r="A64" s="10" t="s">
        <v>793</v>
      </c>
      <c r="B64" t="s">
        <v>556</v>
      </c>
      <c r="C64" t="s">
        <v>176</v>
      </c>
      <c r="D64" t="s">
        <v>658</v>
      </c>
      <c r="E64" t="s">
        <v>133</v>
      </c>
      <c r="F64" t="s">
        <v>352</v>
      </c>
      <c r="G64" t="s">
        <v>557</v>
      </c>
      <c r="H64" t="s">
        <v>60</v>
      </c>
      <c r="I64" t="s">
        <v>115</v>
      </c>
      <c r="J64" t="s">
        <v>792</v>
      </c>
      <c r="K64" t="s">
        <v>96</v>
      </c>
      <c r="L64" t="s">
        <v>49</v>
      </c>
      <c r="M64" t="s">
        <v>561</v>
      </c>
      <c r="N64" t="s">
        <v>794</v>
      </c>
    </row>
    <row r="65" spans="1:14" x14ac:dyDescent="0.35">
      <c r="A65" s="11" t="s">
        <v>57</v>
      </c>
      <c r="B65" s="37"/>
      <c r="C65" s="37"/>
      <c r="D65" s="37"/>
      <c r="E65" s="37">
        <v>1</v>
      </c>
      <c r="F65" s="37">
        <v>1</v>
      </c>
      <c r="G65" s="37"/>
      <c r="H65" s="37">
        <v>1</v>
      </c>
      <c r="I65" s="37"/>
      <c r="J65" s="37">
        <v>13</v>
      </c>
      <c r="K65" s="37">
        <v>1</v>
      </c>
      <c r="L65" s="37">
        <v>2</v>
      </c>
      <c r="M65" s="37"/>
      <c r="N65" s="37">
        <v>19</v>
      </c>
    </row>
    <row r="66" spans="1:14" x14ac:dyDescent="0.35">
      <c r="A66" s="11" t="s">
        <v>45</v>
      </c>
      <c r="B66" s="37"/>
      <c r="C66" s="37">
        <v>3</v>
      </c>
      <c r="D66" s="37"/>
      <c r="E66" s="37">
        <v>1</v>
      </c>
      <c r="F66" s="37">
        <v>2</v>
      </c>
      <c r="G66" s="37"/>
      <c r="H66" s="37"/>
      <c r="I66" s="37">
        <v>1</v>
      </c>
      <c r="J66" s="37">
        <v>10</v>
      </c>
      <c r="K66" s="37">
        <v>3</v>
      </c>
      <c r="L66" s="37">
        <v>5</v>
      </c>
      <c r="M66" s="37"/>
      <c r="N66" s="37">
        <v>25</v>
      </c>
    </row>
    <row r="67" spans="1:14" x14ac:dyDescent="0.35">
      <c r="A67" s="11" t="s">
        <v>26</v>
      </c>
      <c r="B67" s="37">
        <v>1</v>
      </c>
      <c r="C67" s="37">
        <v>3</v>
      </c>
      <c r="D67" s="37"/>
      <c r="E67" s="37"/>
      <c r="F67" s="37"/>
      <c r="G67" s="37">
        <v>1</v>
      </c>
      <c r="H67" s="37">
        <v>1</v>
      </c>
      <c r="I67" s="37"/>
      <c r="J67" s="37">
        <v>12</v>
      </c>
      <c r="K67" s="37">
        <v>2</v>
      </c>
      <c r="L67" s="37">
        <v>7</v>
      </c>
      <c r="M67" s="37"/>
      <c r="N67" s="37">
        <v>27</v>
      </c>
    </row>
    <row r="68" spans="1:14" x14ac:dyDescent="0.35">
      <c r="A68" s="11" t="s">
        <v>36</v>
      </c>
      <c r="B68" s="37">
        <v>1</v>
      </c>
      <c r="C68" s="37">
        <v>2</v>
      </c>
      <c r="D68" s="37">
        <v>1</v>
      </c>
      <c r="E68" s="37">
        <v>1</v>
      </c>
      <c r="F68" s="37"/>
      <c r="G68" s="37">
        <v>1</v>
      </c>
      <c r="H68" s="37"/>
      <c r="I68" s="37"/>
      <c r="J68" s="37">
        <v>11</v>
      </c>
      <c r="K68" s="37">
        <v>3</v>
      </c>
      <c r="L68" s="37">
        <v>7</v>
      </c>
      <c r="M68" s="37"/>
      <c r="N68" s="37">
        <v>27</v>
      </c>
    </row>
    <row r="69" spans="1:14" x14ac:dyDescent="0.35">
      <c r="A69" s="11" t="s">
        <v>93</v>
      </c>
      <c r="B69" s="37">
        <v>2</v>
      </c>
      <c r="C69" s="37">
        <v>4</v>
      </c>
      <c r="D69" s="37"/>
      <c r="E69" s="37"/>
      <c r="F69" s="37">
        <v>4</v>
      </c>
      <c r="G69" s="37"/>
      <c r="H69" s="37"/>
      <c r="I69" s="37">
        <v>2</v>
      </c>
      <c r="J69" s="37">
        <v>14</v>
      </c>
      <c r="K69" s="37">
        <v>2</v>
      </c>
      <c r="L69" s="37">
        <v>3</v>
      </c>
      <c r="M69" s="37">
        <v>1</v>
      </c>
      <c r="N69" s="37">
        <v>32</v>
      </c>
    </row>
    <row r="70" spans="1:14" x14ac:dyDescent="0.35">
      <c r="A70" s="11" t="s">
        <v>794</v>
      </c>
      <c r="B70" s="37">
        <v>4</v>
      </c>
      <c r="C70" s="37">
        <v>12</v>
      </c>
      <c r="D70" s="37">
        <v>1</v>
      </c>
      <c r="E70" s="37">
        <v>3</v>
      </c>
      <c r="F70" s="37">
        <v>7</v>
      </c>
      <c r="G70" s="37">
        <v>2</v>
      </c>
      <c r="H70" s="37">
        <v>2</v>
      </c>
      <c r="I70" s="37">
        <v>3</v>
      </c>
      <c r="J70" s="37">
        <v>60</v>
      </c>
      <c r="K70" s="37">
        <v>11</v>
      </c>
      <c r="L70" s="37">
        <v>24</v>
      </c>
      <c r="M70" s="37">
        <v>1</v>
      </c>
      <c r="N70" s="37">
        <v>130</v>
      </c>
    </row>
  </sheetData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2E65-09D7-4A69-B324-7890D45D0A3E}">
  <dimension ref="A1:N32"/>
  <sheetViews>
    <sheetView workbookViewId="0">
      <selection activeCell="H19" sqref="H19"/>
    </sheetView>
  </sheetViews>
  <sheetFormatPr defaultRowHeight="14.5" x14ac:dyDescent="0.35"/>
  <cols>
    <col min="1" max="1" width="25.1796875" bestFit="1" customWidth="1"/>
    <col min="2" max="2" width="18.90625" bestFit="1" customWidth="1"/>
    <col min="3" max="4" width="1.81640625" bestFit="1" customWidth="1"/>
    <col min="5" max="5" width="10.7265625" bestFit="1" customWidth="1"/>
    <col min="6" max="6" width="11.90625" bestFit="1" customWidth="1"/>
    <col min="7" max="7" width="15.1796875" bestFit="1" customWidth="1"/>
    <col min="8" max="8" width="17.26953125" bestFit="1" customWidth="1"/>
    <col min="9" max="9" width="8.36328125" bestFit="1" customWidth="1"/>
    <col min="10" max="10" width="10.90625" bestFit="1" customWidth="1"/>
    <col min="11" max="11" width="21.1796875" bestFit="1" customWidth="1"/>
    <col min="12" max="12" width="15.1796875" bestFit="1" customWidth="1"/>
    <col min="13" max="13" width="14.7265625" bestFit="1" customWidth="1"/>
    <col min="14" max="14" width="10.7265625" bestFit="1" customWidth="1"/>
  </cols>
  <sheetData>
    <row r="1" spans="1:14" x14ac:dyDescent="0.35">
      <c r="A1" s="10" t="s">
        <v>15</v>
      </c>
      <c r="B1" t="s">
        <v>815</v>
      </c>
    </row>
    <row r="3" spans="1:14" x14ac:dyDescent="0.35">
      <c r="A3" s="10" t="s">
        <v>795</v>
      </c>
      <c r="B3" s="10" t="s">
        <v>808</v>
      </c>
    </row>
    <row r="4" spans="1:14" x14ac:dyDescent="0.35">
      <c r="A4" s="10" t="s">
        <v>793</v>
      </c>
      <c r="B4" t="s">
        <v>556</v>
      </c>
      <c r="C4" t="s">
        <v>176</v>
      </c>
      <c r="D4" t="s">
        <v>658</v>
      </c>
      <c r="E4" t="s">
        <v>133</v>
      </c>
      <c r="F4" t="s">
        <v>352</v>
      </c>
      <c r="G4" t="s">
        <v>557</v>
      </c>
      <c r="H4" t="s">
        <v>60</v>
      </c>
      <c r="I4" t="s">
        <v>115</v>
      </c>
      <c r="J4" t="s">
        <v>792</v>
      </c>
      <c r="K4" t="s">
        <v>96</v>
      </c>
      <c r="L4" t="s">
        <v>49</v>
      </c>
      <c r="M4" t="s">
        <v>561</v>
      </c>
      <c r="N4" t="s">
        <v>794</v>
      </c>
    </row>
    <row r="5" spans="1:14" x14ac:dyDescent="0.35">
      <c r="A5" s="11" t="s">
        <v>25</v>
      </c>
      <c r="B5" s="37">
        <v>2</v>
      </c>
      <c r="C5" s="37">
        <v>1</v>
      </c>
      <c r="D5" s="37"/>
      <c r="E5" s="37">
        <v>2</v>
      </c>
      <c r="F5" s="37">
        <v>4</v>
      </c>
      <c r="G5" s="37"/>
      <c r="H5" s="37"/>
      <c r="I5" s="37">
        <v>2</v>
      </c>
      <c r="J5" s="37">
        <v>20</v>
      </c>
      <c r="K5" s="37">
        <v>3</v>
      </c>
      <c r="L5" s="37">
        <v>6</v>
      </c>
      <c r="M5" s="37"/>
      <c r="N5" s="37">
        <v>40</v>
      </c>
    </row>
    <row r="6" spans="1:14" x14ac:dyDescent="0.35">
      <c r="A6" s="11" t="s">
        <v>17</v>
      </c>
      <c r="B6" s="37">
        <v>2</v>
      </c>
      <c r="C6" s="37">
        <v>11</v>
      </c>
      <c r="D6" s="37">
        <v>1</v>
      </c>
      <c r="E6" s="37">
        <v>1</v>
      </c>
      <c r="F6" s="37">
        <v>3</v>
      </c>
      <c r="G6" s="37">
        <v>2</v>
      </c>
      <c r="H6" s="37">
        <v>2</v>
      </c>
      <c r="I6" s="37">
        <v>1</v>
      </c>
      <c r="J6" s="37">
        <v>40</v>
      </c>
      <c r="K6" s="37">
        <v>8</v>
      </c>
      <c r="L6" s="37">
        <v>18</v>
      </c>
      <c r="M6" s="37">
        <v>1</v>
      </c>
      <c r="N6" s="37">
        <v>90</v>
      </c>
    </row>
    <row r="7" spans="1:14" x14ac:dyDescent="0.35">
      <c r="A7" s="11" t="s">
        <v>794</v>
      </c>
      <c r="B7" s="37">
        <v>4</v>
      </c>
      <c r="C7" s="37">
        <v>12</v>
      </c>
      <c r="D7" s="37">
        <v>1</v>
      </c>
      <c r="E7" s="37">
        <v>3</v>
      </c>
      <c r="F7" s="37">
        <v>7</v>
      </c>
      <c r="G7" s="37">
        <v>2</v>
      </c>
      <c r="H7" s="37">
        <v>2</v>
      </c>
      <c r="I7" s="37">
        <v>3</v>
      </c>
      <c r="J7" s="37">
        <v>60</v>
      </c>
      <c r="K7" s="37">
        <v>11</v>
      </c>
      <c r="L7" s="37">
        <v>24</v>
      </c>
      <c r="M7" s="37">
        <v>1</v>
      </c>
      <c r="N7" s="37">
        <v>130</v>
      </c>
    </row>
    <row r="24" spans="1:5" x14ac:dyDescent="0.35">
      <c r="A24" s="10" t="s">
        <v>14</v>
      </c>
      <c r="B24" t="s">
        <v>176</v>
      </c>
    </row>
    <row r="26" spans="1:5" x14ac:dyDescent="0.35">
      <c r="A26" s="10" t="s">
        <v>795</v>
      </c>
      <c r="B26" s="10" t="s">
        <v>808</v>
      </c>
    </row>
    <row r="27" spans="1:5" x14ac:dyDescent="0.35">
      <c r="A27" s="10" t="s">
        <v>793</v>
      </c>
      <c r="B27">
        <v>2</v>
      </c>
      <c r="C27">
        <v>3</v>
      </c>
      <c r="D27">
        <v>4</v>
      </c>
      <c r="E27" t="s">
        <v>794</v>
      </c>
    </row>
    <row r="28" spans="1:5" x14ac:dyDescent="0.35">
      <c r="A28" s="11" t="s">
        <v>45</v>
      </c>
      <c r="B28" s="37">
        <v>1</v>
      </c>
      <c r="C28" s="37">
        <v>1</v>
      </c>
      <c r="D28" s="37">
        <v>1</v>
      </c>
      <c r="E28" s="37">
        <v>3</v>
      </c>
    </row>
    <row r="29" spans="1:5" x14ac:dyDescent="0.35">
      <c r="A29" s="11" t="s">
        <v>26</v>
      </c>
      <c r="B29" s="37"/>
      <c r="C29" s="37">
        <v>2</v>
      </c>
      <c r="D29" s="37">
        <v>1</v>
      </c>
      <c r="E29" s="37">
        <v>3</v>
      </c>
    </row>
    <row r="30" spans="1:5" x14ac:dyDescent="0.35">
      <c r="A30" s="11" t="s">
        <v>36</v>
      </c>
      <c r="B30" s="37"/>
      <c r="C30" s="37">
        <v>2</v>
      </c>
      <c r="D30" s="37"/>
      <c r="E30" s="37">
        <v>2</v>
      </c>
    </row>
    <row r="31" spans="1:5" x14ac:dyDescent="0.35">
      <c r="A31" s="11" t="s">
        <v>93</v>
      </c>
      <c r="B31" s="37">
        <v>2</v>
      </c>
      <c r="C31" s="37">
        <v>2</v>
      </c>
      <c r="D31" s="37"/>
      <c r="E31" s="37">
        <v>4</v>
      </c>
    </row>
    <row r="32" spans="1:5" x14ac:dyDescent="0.35">
      <c r="A32" s="11" t="s">
        <v>794</v>
      </c>
      <c r="B32" s="37">
        <v>3</v>
      </c>
      <c r="C32" s="37">
        <v>7</v>
      </c>
      <c r="D32" s="37">
        <v>2</v>
      </c>
      <c r="E32" s="37">
        <v>12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F1D47-9A28-474A-86ED-E57FA7844940}">
  <dimension ref="B2"/>
  <sheetViews>
    <sheetView showGridLines="0" topLeftCell="A8" zoomScale="90" zoomScaleNormal="90" workbookViewId="0">
      <selection activeCell="W5" sqref="W5"/>
    </sheetView>
  </sheetViews>
  <sheetFormatPr defaultColWidth="9.1796875" defaultRowHeight="11.5" x14ac:dyDescent="0.25"/>
  <cols>
    <col min="1" max="1" width="2" style="1" customWidth="1"/>
    <col min="2" max="16384" width="9.1796875" style="1"/>
  </cols>
  <sheetData>
    <row r="2" spans="2:2" ht="14" x14ac:dyDescent="0.3">
      <c r="B2" s="16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6761A-EBD8-45DC-919A-67807FC36CB3}">
  <dimension ref="B2"/>
  <sheetViews>
    <sheetView showGridLines="0" zoomScale="90" zoomScaleNormal="90" workbookViewId="0">
      <selection activeCell="B1" sqref="B1"/>
    </sheetView>
  </sheetViews>
  <sheetFormatPr defaultColWidth="9.1796875" defaultRowHeight="11.5" x14ac:dyDescent="0.25"/>
  <cols>
    <col min="1" max="1" width="2" style="1" customWidth="1"/>
    <col min="2" max="16384" width="9.1796875" style="1"/>
  </cols>
  <sheetData>
    <row r="2" spans="2:2" ht="14" x14ac:dyDescent="0.3">
      <c r="B2" s="16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7291-EF89-4B3C-A1F7-C7AABAC3680C}">
  <dimension ref="B2:E18"/>
  <sheetViews>
    <sheetView workbookViewId="0">
      <selection activeCell="C14" sqref="C14"/>
    </sheetView>
  </sheetViews>
  <sheetFormatPr defaultRowHeight="14.5" x14ac:dyDescent="0.35"/>
  <cols>
    <col min="2" max="2" width="16.1796875" bestFit="1" customWidth="1"/>
    <col min="3" max="3" width="14.54296875" bestFit="1" customWidth="1"/>
    <col min="4" max="4" width="14.90625" bestFit="1" customWidth="1"/>
    <col min="5" max="5" width="10.6328125" bestFit="1" customWidth="1"/>
  </cols>
  <sheetData>
    <row r="2" spans="2:5" x14ac:dyDescent="0.35">
      <c r="B2" s="13" t="s">
        <v>810</v>
      </c>
      <c r="C2" s="13" t="s">
        <v>811</v>
      </c>
      <c r="D2" s="13" t="s">
        <v>812</v>
      </c>
      <c r="E2" s="13" t="s">
        <v>813</v>
      </c>
    </row>
    <row r="3" spans="2:5" x14ac:dyDescent="0.35">
      <c r="B3" s="14" t="s">
        <v>800</v>
      </c>
      <c r="C3" s="14">
        <f>COUNTIF('Cleaned Data'!G1:G131, "January")</f>
        <v>42</v>
      </c>
      <c r="D3" s="14">
        <v>410</v>
      </c>
      <c r="E3" s="15">
        <f>C3/D3</f>
        <v>0.1024390243902439</v>
      </c>
    </row>
    <row r="4" spans="2:5" x14ac:dyDescent="0.35">
      <c r="B4" s="14" t="s">
        <v>801</v>
      </c>
      <c r="C4" s="14">
        <f>COUNTIF('Cleaned Data'!G2:G132, "February")</f>
        <v>47</v>
      </c>
      <c r="D4" s="14">
        <v>379</v>
      </c>
      <c r="E4" s="15">
        <f t="shared" ref="E4:E5" si="0">C4/D4</f>
        <v>0.12401055408970976</v>
      </c>
    </row>
    <row r="5" spans="2:5" x14ac:dyDescent="0.35">
      <c r="B5" s="14" t="s">
        <v>802</v>
      </c>
      <c r="C5" s="14">
        <f>COUNTIF('Cleaned Data'!G3:G133, "March")</f>
        <v>41</v>
      </c>
      <c r="D5" s="14">
        <v>405</v>
      </c>
      <c r="E5" s="15">
        <f t="shared" si="0"/>
        <v>0.10123456790123457</v>
      </c>
    </row>
    <row r="6" spans="2:5" x14ac:dyDescent="0.35">
      <c r="B6" s="17" t="s">
        <v>814</v>
      </c>
      <c r="C6" s="17">
        <f>SUM(C3:C5)</f>
        <v>130</v>
      </c>
      <c r="D6" s="17">
        <f>AVERAGE(D3:D5)</f>
        <v>398</v>
      </c>
      <c r="E6" s="18">
        <f>AVERAGE(E3:E5)</f>
        <v>0.10922804879372942</v>
      </c>
    </row>
    <row r="7" spans="2:5" x14ac:dyDescent="0.35">
      <c r="E7" s="12"/>
    </row>
    <row r="9" spans="2:5" x14ac:dyDescent="0.35">
      <c r="B9" s="26" t="s">
        <v>816</v>
      </c>
      <c r="C9" s="26"/>
      <c r="D9" s="26"/>
      <c r="E9" s="26"/>
    </row>
    <row r="10" spans="2:5" x14ac:dyDescent="0.35">
      <c r="B10" s="20" t="s">
        <v>825</v>
      </c>
      <c r="C10" s="20" t="s">
        <v>826</v>
      </c>
      <c r="D10" s="19"/>
      <c r="E10" s="19"/>
    </row>
    <row r="11" spans="2:5" x14ac:dyDescent="0.35">
      <c r="B11" s="21" t="s">
        <v>817</v>
      </c>
      <c r="C11" s="22">
        <v>0.13</v>
      </c>
    </row>
    <row r="12" spans="2:5" x14ac:dyDescent="0.35">
      <c r="B12" s="21" t="s">
        <v>818</v>
      </c>
      <c r="C12" s="22">
        <v>0.12</v>
      </c>
    </row>
    <row r="13" spans="2:5" x14ac:dyDescent="0.35">
      <c r="B13" s="21" t="s">
        <v>819</v>
      </c>
      <c r="C13" s="22">
        <v>0.14000000000000001</v>
      </c>
    </row>
    <row r="14" spans="2:5" x14ac:dyDescent="0.35">
      <c r="B14" s="21" t="s">
        <v>820</v>
      </c>
      <c r="C14" s="22">
        <v>0.09</v>
      </c>
    </row>
    <row r="15" spans="2:5" x14ac:dyDescent="0.35">
      <c r="B15" s="21" t="s">
        <v>821</v>
      </c>
      <c r="C15" s="22">
        <v>0.06</v>
      </c>
    </row>
    <row r="16" spans="2:5" x14ac:dyDescent="0.35">
      <c r="B16" s="21" t="s">
        <v>822</v>
      </c>
      <c r="C16" s="22">
        <v>0.08</v>
      </c>
    </row>
    <row r="17" spans="2:3" x14ac:dyDescent="0.35">
      <c r="B17" s="21" t="s">
        <v>823</v>
      </c>
      <c r="C17" s="22">
        <v>0.11</v>
      </c>
    </row>
    <row r="18" spans="2:3" x14ac:dyDescent="0.35">
      <c r="B18" s="21" t="s">
        <v>824</v>
      </c>
      <c r="C18" s="22">
        <v>0.09</v>
      </c>
    </row>
  </sheetData>
  <mergeCells count="1">
    <mergeCell ref="B9:E9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84485-97C1-48DA-B3B5-ED02AD44D0C6}">
  <dimension ref="B2:E13"/>
  <sheetViews>
    <sheetView workbookViewId="0">
      <selection activeCell="I4" sqref="I4"/>
    </sheetView>
  </sheetViews>
  <sheetFormatPr defaultRowHeight="14.5" x14ac:dyDescent="0.35"/>
  <cols>
    <col min="2" max="2" width="29.6328125" bestFit="1" customWidth="1"/>
    <col min="3" max="3" width="11.453125" customWidth="1"/>
    <col min="4" max="4" width="11.26953125" customWidth="1"/>
    <col min="5" max="5" width="13.54296875" customWidth="1"/>
  </cols>
  <sheetData>
    <row r="2" spans="2:5" ht="17.5" x14ac:dyDescent="0.35">
      <c r="B2" s="24" t="s">
        <v>827</v>
      </c>
    </row>
    <row r="4" spans="2:5" ht="29" x14ac:dyDescent="0.35">
      <c r="B4" s="25" t="s">
        <v>828</v>
      </c>
      <c r="C4" s="25" t="s">
        <v>829</v>
      </c>
      <c r="D4" s="25" t="s">
        <v>821</v>
      </c>
      <c r="E4" s="25" t="s">
        <v>820</v>
      </c>
    </row>
    <row r="5" spans="2:5" ht="43.5" x14ac:dyDescent="0.35">
      <c r="B5" s="23" t="s">
        <v>830</v>
      </c>
      <c r="C5" s="23" t="s">
        <v>831</v>
      </c>
      <c r="D5" s="23" t="s">
        <v>832</v>
      </c>
      <c r="E5" s="23" t="s">
        <v>831</v>
      </c>
    </row>
    <row r="6" spans="2:5" x14ac:dyDescent="0.35">
      <c r="B6" s="23" t="s">
        <v>833</v>
      </c>
      <c r="C6" s="23" t="s">
        <v>834</v>
      </c>
      <c r="D6" s="23" t="s">
        <v>831</v>
      </c>
      <c r="E6" s="23" t="s">
        <v>834</v>
      </c>
    </row>
    <row r="7" spans="2:5" ht="29" x14ac:dyDescent="0.35">
      <c r="B7" s="23" t="s">
        <v>835</v>
      </c>
      <c r="C7" s="23" t="s">
        <v>836</v>
      </c>
      <c r="D7" s="23" t="s">
        <v>837</v>
      </c>
      <c r="E7" s="23" t="s">
        <v>838</v>
      </c>
    </row>
    <row r="8" spans="2:5" x14ac:dyDescent="0.35">
      <c r="B8" s="23" t="s">
        <v>839</v>
      </c>
      <c r="C8" s="23" t="s">
        <v>831</v>
      </c>
      <c r="D8" s="23" t="s">
        <v>831</v>
      </c>
      <c r="E8" s="23" t="s">
        <v>831</v>
      </c>
    </row>
    <row r="9" spans="2:5" x14ac:dyDescent="0.35">
      <c r="B9" s="23" t="s">
        <v>840</v>
      </c>
      <c r="C9" s="23" t="s">
        <v>834</v>
      </c>
      <c r="D9" s="23" t="s">
        <v>834</v>
      </c>
      <c r="E9" s="23" t="s">
        <v>837</v>
      </c>
    </row>
    <row r="10" spans="2:5" ht="58" x14ac:dyDescent="0.35">
      <c r="B10" s="23" t="s">
        <v>841</v>
      </c>
      <c r="C10" s="23" t="s">
        <v>834</v>
      </c>
      <c r="D10" s="23" t="s">
        <v>842</v>
      </c>
      <c r="E10" s="23" t="s">
        <v>843</v>
      </c>
    </row>
    <row r="11" spans="2:5" ht="29" x14ac:dyDescent="0.35">
      <c r="B11" s="23" t="s">
        <v>844</v>
      </c>
      <c r="C11" s="23" t="s">
        <v>834</v>
      </c>
      <c r="D11" s="23" t="s">
        <v>834</v>
      </c>
      <c r="E11" s="23" t="s">
        <v>845</v>
      </c>
    </row>
    <row r="12" spans="2:5" x14ac:dyDescent="0.35">
      <c r="B12" s="23" t="s">
        <v>846</v>
      </c>
      <c r="C12" s="23" t="s">
        <v>834</v>
      </c>
      <c r="D12" s="23" t="s">
        <v>834</v>
      </c>
      <c r="E12" s="23" t="s">
        <v>831</v>
      </c>
    </row>
    <row r="13" spans="2:5" ht="29" x14ac:dyDescent="0.35">
      <c r="B13" s="23" t="s">
        <v>847</v>
      </c>
      <c r="C13" s="23" t="s">
        <v>834</v>
      </c>
      <c r="D13" s="23" t="s">
        <v>834</v>
      </c>
      <c r="E13" s="23" t="s">
        <v>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Jan-25</vt:lpstr>
      <vt:lpstr>Feb-25</vt:lpstr>
      <vt:lpstr>Mar-25</vt:lpstr>
      <vt:lpstr>Cleaned Data</vt:lpstr>
      <vt:lpstr>Univariate Analysis</vt:lpstr>
      <vt:lpstr>Bi-Variate Analysis</vt:lpstr>
      <vt:lpstr>Multivariate Analysis</vt:lpstr>
      <vt:lpstr>Univariate_Dashboard</vt:lpstr>
      <vt:lpstr>Bivariate_Dashboard</vt:lpstr>
      <vt:lpstr>Attrition Calculation</vt:lpstr>
      <vt:lpstr>Best Practices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 Abuzar</dc:creator>
  <cp:lastModifiedBy>Gaurav Kumar</cp:lastModifiedBy>
  <dcterms:created xsi:type="dcterms:W3CDTF">2025-06-04T05:56:42Z</dcterms:created>
  <dcterms:modified xsi:type="dcterms:W3CDTF">2026-03-30T18:55:28Z</dcterms:modified>
</cp:coreProperties>
</file>