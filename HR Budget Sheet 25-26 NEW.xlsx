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noidainstituteofengtech-my.sharepoint.com/personal/0241mba073_niet_co_in/Documents/Desktop/UCG Net JRF/TCS Preparation/"/>
    </mc:Choice>
  </mc:AlternateContent>
  <xr:revisionPtr revIDLastSave="6" documentId="11_B842F6059C5BFB9C815F5EF450DE6DBDDC32C43D" xr6:coauthVersionLast="47" xr6:coauthVersionMax="47" xr10:uidLastSave="{8163AF68-D98B-4E20-813D-EB1FC4BE2086}"/>
  <bookViews>
    <workbookView xWindow="-110" yWindow="-110" windowWidth="19420" windowHeight="10300" activeTab="2" xr2:uid="{00000000-000D-0000-FFFF-FFFF00000000}"/>
  </bookViews>
  <sheets>
    <sheet name="Green Voucher &amp; Balance Sheet" sheetId="1" r:id="rId1"/>
    <sheet name="Liabilities" sheetId="2" r:id="rId2"/>
    <sheet name="Contribu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1" i="1"/>
  <c r="H106" i="1"/>
  <c r="H82" i="1"/>
  <c r="K31" i="3"/>
  <c r="G30" i="3"/>
  <c r="O17" i="3"/>
  <c r="C16" i="3"/>
  <c r="W15" i="3"/>
  <c r="S13" i="3"/>
  <c r="C2" i="2"/>
  <c r="N10" i="1" l="1"/>
  <c r="H55" i="1"/>
  <c r="H40" i="1"/>
  <c r="H25" i="1"/>
  <c r="N11" i="1"/>
  <c r="N9" i="1"/>
  <c r="N8" i="1"/>
  <c r="N7" i="1"/>
  <c r="H4" i="1"/>
  <c r="N6" i="1" s="1"/>
  <c r="O6" i="1" s="1"/>
  <c r="O7" i="1" s="1"/>
  <c r="O8" i="1" s="1"/>
  <c r="O9" i="1" s="1"/>
  <c r="O10" i="1" s="1"/>
  <c r="O11" i="1" l="1"/>
</calcChain>
</file>

<file path=xl/sharedStrings.xml><?xml version="1.0" encoding="utf-8"?>
<sst xmlns="http://schemas.openxmlformats.org/spreadsheetml/2006/main" count="646" uniqueCount="200">
  <si>
    <t>Total Expences</t>
  </si>
  <si>
    <t>Total Credited</t>
  </si>
  <si>
    <t>Balance Sheet 25-26</t>
  </si>
  <si>
    <t>Total Paid Amount</t>
  </si>
  <si>
    <t>Month</t>
  </si>
  <si>
    <t>Credit Amount</t>
  </si>
  <si>
    <t>Used Amount</t>
  </si>
  <si>
    <t>Remaining</t>
  </si>
  <si>
    <t>Header</t>
  </si>
  <si>
    <t>Amount</t>
  </si>
  <si>
    <t>Date</t>
  </si>
  <si>
    <t>Amount Received</t>
  </si>
  <si>
    <t>Status</t>
  </si>
  <si>
    <t>Payee</t>
  </si>
  <si>
    <t>Green Voucher</t>
  </si>
  <si>
    <t>Amount Paid/Repayment</t>
  </si>
  <si>
    <t>Remarks</t>
  </si>
  <si>
    <t>March</t>
  </si>
  <si>
    <t>Opening Bal</t>
  </si>
  <si>
    <t>Conveyance for Rohit</t>
  </si>
  <si>
    <t>03.04.2025</t>
  </si>
  <si>
    <t>Not Received</t>
  </si>
  <si>
    <t>Rohit (Paid)</t>
  </si>
  <si>
    <t>Available</t>
  </si>
  <si>
    <t>Paid</t>
  </si>
  <si>
    <t>April</t>
  </si>
  <si>
    <t xml:space="preserve">Customer Thali </t>
  </si>
  <si>
    <t>Received</t>
  </si>
  <si>
    <t>Paras(Paid)</t>
  </si>
  <si>
    <t xml:space="preserve">May </t>
  </si>
  <si>
    <t xml:space="preserve">Frames </t>
  </si>
  <si>
    <t>Rohit (Rohit)</t>
  </si>
  <si>
    <t>June</t>
  </si>
  <si>
    <t>First day arrangements (April)</t>
  </si>
  <si>
    <t>07.04.2025</t>
  </si>
  <si>
    <t>Harsh (90 - Paid)</t>
  </si>
  <si>
    <t>July</t>
  </si>
  <si>
    <t>Customer Food (Rasgulla + Fruits)</t>
  </si>
  <si>
    <t xml:space="preserve"> 10.04.2025</t>
  </si>
  <si>
    <t>Ameesha 80, Paras 100 (Paid)</t>
  </si>
  <si>
    <t>August</t>
  </si>
  <si>
    <t>Snacks for industrial visit</t>
  </si>
  <si>
    <t>11.04.2025</t>
  </si>
  <si>
    <t>Ameesha 973, Rohit 63</t>
  </si>
  <si>
    <t>September</t>
  </si>
  <si>
    <t>Factory inspection booklet + Mat rentals</t>
  </si>
  <si>
    <t>Abhishek (Paid)</t>
  </si>
  <si>
    <t>October</t>
  </si>
  <si>
    <t>Customer Thali + Dues</t>
  </si>
  <si>
    <t>Ameesha</t>
  </si>
  <si>
    <t>Not Available</t>
  </si>
  <si>
    <t>November</t>
  </si>
  <si>
    <t>25.04.2025</t>
  </si>
  <si>
    <t>Paras (Paid)</t>
  </si>
  <si>
    <t>December</t>
  </si>
  <si>
    <t xml:space="preserve">Appraisal Hampers for delivery </t>
  </si>
  <si>
    <t>29.04.2025</t>
  </si>
  <si>
    <t xml:space="preserve">Ameesha </t>
  </si>
  <si>
    <t>January</t>
  </si>
  <si>
    <t>Decoration Items (Rohit)
Pink line inaugration</t>
  </si>
  <si>
    <t>February</t>
  </si>
  <si>
    <t>Sweets for customer</t>
  </si>
  <si>
    <t xml:space="preserve">Rohit Travel reimbursement </t>
  </si>
  <si>
    <t>23.04.2025</t>
  </si>
  <si>
    <t>Tractor Payment</t>
  </si>
  <si>
    <t>Birthday Cakes</t>
  </si>
  <si>
    <t>Customer Thali + Housekeeping material</t>
  </si>
  <si>
    <t>Snacks for industrial visit (Sat)</t>
  </si>
  <si>
    <t xml:space="preserve">Customer Lunch </t>
  </si>
  <si>
    <t>30.04.2025</t>
  </si>
  <si>
    <t>First Day gifts</t>
  </si>
  <si>
    <t>Conveyance voucher</t>
  </si>
  <si>
    <t>07.05.2025</t>
  </si>
  <si>
    <t>Mat rentals for first day</t>
  </si>
  <si>
    <t xml:space="preserve">Snake catcher and plant digital signature </t>
  </si>
  <si>
    <t>14.05.2025</t>
  </si>
  <si>
    <t>Kaizen competition snacks</t>
  </si>
  <si>
    <t>15.05.2025</t>
  </si>
  <si>
    <t>26.05.2025</t>
  </si>
  <si>
    <t xml:space="preserve">Customer Lunch MSIL </t>
  </si>
  <si>
    <t>Customer Lunch Cummins</t>
  </si>
  <si>
    <t>Forklift Pujan</t>
  </si>
  <si>
    <t>27.05.2025</t>
  </si>
  <si>
    <t>Mahindra and Cummins customer</t>
  </si>
  <si>
    <t>04.06.2025</t>
  </si>
  <si>
    <t>Paras</t>
  </si>
  <si>
    <t>Fitness Day Celebration Payments</t>
  </si>
  <si>
    <t>Kumar Sashwat Anniversary Cake</t>
  </si>
  <si>
    <t>Abhineet Aniversary Cake</t>
  </si>
  <si>
    <t>09.06.2025</t>
  </si>
  <si>
    <t xml:space="preserve">Yogendra Singh Anniversary Cake </t>
  </si>
  <si>
    <t>Rahul Ranjan Farewell Snacks</t>
  </si>
  <si>
    <t xml:space="preserve">Sudhir Kumar Farewell </t>
  </si>
  <si>
    <t>Rohit (887 Paid)</t>
  </si>
  <si>
    <t>Rooh Afza milk Distribution</t>
  </si>
  <si>
    <t>19.06.2025</t>
  </si>
  <si>
    <t>Ameesha, Harsh (580 - Paid)</t>
  </si>
  <si>
    <t xml:space="preserve">Abuzar Delhi Public ITI Conveyance voucher </t>
  </si>
  <si>
    <t>23.06.2025</t>
  </si>
  <si>
    <t>Abuzar (330 - Paid)</t>
  </si>
  <si>
    <t xml:space="preserve">Deepanshu Conveyance </t>
  </si>
  <si>
    <t>Deepanshu (515 - Paid)</t>
  </si>
  <si>
    <t>Internal Auditor Snacks + Food</t>
  </si>
  <si>
    <t>Harsh (148.5 - Paid)</t>
  </si>
  <si>
    <t>Yoga Day Mat rentals</t>
  </si>
  <si>
    <t>21.06.2025</t>
  </si>
  <si>
    <t>Jagdeep 600 Paid+ Harsh 600 - Paid)</t>
  </si>
  <si>
    <t>First day arrangements (June)</t>
  </si>
  <si>
    <t>07.06.2025</t>
  </si>
  <si>
    <t>Abhishek (1200)</t>
  </si>
  <si>
    <t>Housekeeping dispensers</t>
  </si>
  <si>
    <t>Painter Money</t>
  </si>
  <si>
    <t>Paint/ gift wraps/ fertilizer/ Soap Dispenser</t>
  </si>
  <si>
    <t>01.07.2025</t>
  </si>
  <si>
    <t>Harsh 427.5 paid</t>
  </si>
  <si>
    <t>Birthday Cards</t>
  </si>
  <si>
    <t>Harsh paid 90</t>
  </si>
  <si>
    <t xml:space="preserve">MSIL Customer Thali </t>
  </si>
  <si>
    <t>Mantu Singh SSDP Travel reimbursement</t>
  </si>
  <si>
    <t>Mantu Singh (Paid)</t>
  </si>
  <si>
    <t>Customer Thali Payment</t>
  </si>
  <si>
    <t>DSC(Digital Sign)</t>
  </si>
  <si>
    <t>First Day Function Mat</t>
  </si>
  <si>
    <t xml:space="preserve">Washbasin repair </t>
  </si>
  <si>
    <t>14.07.2025</t>
  </si>
  <si>
    <t>20.07.2025</t>
  </si>
  <si>
    <t>Industrial Visit Snacks</t>
  </si>
  <si>
    <t>25.07.2025</t>
  </si>
  <si>
    <t>Porter courrier for Teej</t>
  </si>
  <si>
    <t>Cummins Customer Snacks</t>
  </si>
  <si>
    <t>Harsh Mat Payment Teej</t>
  </si>
  <si>
    <t>Teej Snacks + Snadeep Sir Farewell</t>
  </si>
  <si>
    <t>30.07.2025</t>
  </si>
  <si>
    <t>Harsh Paid</t>
  </si>
  <si>
    <t xml:space="preserve">Mehndi Cones </t>
  </si>
  <si>
    <t>SB Cake</t>
  </si>
  <si>
    <t>Snake Catcher</t>
  </si>
  <si>
    <t xml:space="preserve">Digital Signature </t>
  </si>
  <si>
    <t>Maintenance Lock and Stopper</t>
  </si>
  <si>
    <t>Sumit Paid</t>
  </si>
  <si>
    <t>Teej Decorations</t>
  </si>
  <si>
    <t xml:space="preserve">Cummins Customer Thali </t>
  </si>
  <si>
    <t>Paras paid</t>
  </si>
  <si>
    <t>Mahindra Customer Thali</t>
  </si>
  <si>
    <t>MSIL + Mahindra customer thali</t>
  </si>
  <si>
    <t>Washroom Repairs</t>
  </si>
  <si>
    <t>05.08.2025</t>
  </si>
  <si>
    <t>Farewell Snacks</t>
  </si>
  <si>
    <t>Non CTC - Travel for Paras</t>
  </si>
  <si>
    <t>Submitted</t>
  </si>
  <si>
    <t>Paras (To be paid)</t>
  </si>
  <si>
    <t>Not Paid</t>
  </si>
  <si>
    <t>Non CTC - Travel for Rohit</t>
  </si>
  <si>
    <t>N.A</t>
  </si>
  <si>
    <t>Rohit Sharma (To be paid)</t>
  </si>
  <si>
    <t>Non CTC - Travel for Ankit</t>
  </si>
  <si>
    <t>Ankit (To be paid)</t>
  </si>
  <si>
    <t>MSIL Customer Thali</t>
  </si>
  <si>
    <t>Harsh paid</t>
  </si>
  <si>
    <t>Rakhi Supplies + Snacks</t>
  </si>
  <si>
    <t>Gajendra Sir (800 To be paid)</t>
  </si>
  <si>
    <t>Customer Thali MSIL</t>
  </si>
  <si>
    <t>Mat Rentals</t>
  </si>
  <si>
    <t>12.08.2025</t>
  </si>
  <si>
    <r>
      <rPr>
        <sz val="11"/>
        <color theme="1"/>
        <rFont val="Calibri"/>
        <family val="2"/>
        <scheme val="minor"/>
      </rPr>
      <t>Jagdeep 1100 paid, Paras 2400 (To be paid)</t>
    </r>
  </si>
  <si>
    <t>Gift Wrap</t>
  </si>
  <si>
    <t>Liabilities</t>
  </si>
  <si>
    <t>Detail</t>
  </si>
  <si>
    <t xml:space="preserve">Amount </t>
  </si>
  <si>
    <t>Paid Amoint</t>
  </si>
  <si>
    <t xml:space="preserve">Paras </t>
  </si>
  <si>
    <t>To be paid</t>
  </si>
  <si>
    <t>Rohit Sharma</t>
  </si>
  <si>
    <t>Ankit</t>
  </si>
  <si>
    <t>Gajendra Sir</t>
  </si>
  <si>
    <t>Cost Contributions To Each Factors</t>
  </si>
  <si>
    <t>Travel / Conveyance</t>
  </si>
  <si>
    <t>Customer Snacks &amp; Lunch/Industrial Visit</t>
  </si>
  <si>
    <t>Employee Engagment Activities</t>
  </si>
  <si>
    <t>Office Expenses/Maintenance</t>
  </si>
  <si>
    <t>Miscellaneous</t>
  </si>
  <si>
    <t>Rented Material</t>
  </si>
  <si>
    <t>Amt</t>
  </si>
  <si>
    <t xml:space="preserve">Date </t>
  </si>
  <si>
    <t>Details</t>
  </si>
  <si>
    <t>Womens Day Decoration</t>
  </si>
  <si>
    <t>Pantry Kettle</t>
  </si>
  <si>
    <t>Holi Colours</t>
  </si>
  <si>
    <t>Washroom Sanitary Expences</t>
  </si>
  <si>
    <t>Holi Gujiya Sweets</t>
  </si>
  <si>
    <t>Wind Sock and First Aid Kit</t>
  </si>
  <si>
    <t>Holi Sweets</t>
  </si>
  <si>
    <t>Bond Payment</t>
  </si>
  <si>
    <t xml:space="preserve">Photo Frames </t>
  </si>
  <si>
    <t xml:space="preserve">Tractor Payment </t>
  </si>
  <si>
    <t>Paid for Holi Snacks</t>
  </si>
  <si>
    <t>Yoga Mat Rent</t>
  </si>
  <si>
    <t>Birthday Cake</t>
  </si>
  <si>
    <t>Birthday Card</t>
  </si>
  <si>
    <t xml:space="preserve">Gift Wrap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</si>
</sst>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&quot;₹&quot;\ 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14"/>
      <color theme="1"/>
      <name val="Cambria"/>
      <family val="1"/>
    </font>
    <font>
      <b/>
      <sz val="18"/>
      <color theme="1"/>
      <name val="Cambria"/>
      <family val="1"/>
    </font>
    <font>
      <b/>
      <sz val="11"/>
      <color theme="1"/>
      <name val="Times New Roman"/>
      <family val="1"/>
    </font>
    <font>
      <b/>
      <sz val="16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6">
    <xf numFmtId="0" fontId="0" fillId="0" borderId="0" xfId="0"/>
    <xf numFmtId="0" fontId="0" fillId="2" borderId="0" xfId="0" applyFill="1"/>
    <xf numFmtId="0" fontId="2" fillId="0" borderId="0" xfId="0" applyFont="1"/>
    <xf numFmtId="165" fontId="3" fillId="0" borderId="0" xfId="0" applyNumberFormat="1" applyFont="1"/>
    <xf numFmtId="0" fontId="2" fillId="0" borderId="4" xfId="0" applyFont="1" applyBorder="1"/>
    <xf numFmtId="165" fontId="3" fillId="0" borderId="5" xfId="0" applyNumberFormat="1" applyFont="1" applyBorder="1"/>
    <xf numFmtId="0" fontId="2" fillId="2" borderId="9" xfId="0" applyFont="1" applyFill="1" applyBorder="1"/>
    <xf numFmtId="0" fontId="5" fillId="0" borderId="6" xfId="0" applyFont="1" applyBorder="1"/>
    <xf numFmtId="165" fontId="4" fillId="0" borderId="6" xfId="0" applyNumberFormat="1" applyFont="1" applyBorder="1"/>
    <xf numFmtId="0" fontId="2" fillId="2" borderId="11" xfId="0" applyFont="1" applyFill="1" applyBorder="1"/>
    <xf numFmtId="17" fontId="6" fillId="0" borderId="6" xfId="0" applyNumberFormat="1" applyFont="1" applyBorder="1"/>
    <xf numFmtId="0" fontId="0" fillId="3" borderId="6" xfId="0" applyFill="1" applyBorder="1"/>
    <xf numFmtId="14" fontId="0" fillId="3" borderId="6" xfId="0" applyNumberFormat="1" applyFill="1" applyBorder="1"/>
    <xf numFmtId="0" fontId="0" fillId="2" borderId="6" xfId="0" applyFill="1" applyBorder="1"/>
    <xf numFmtId="0" fontId="0" fillId="4" borderId="6" xfId="0" applyFill="1" applyBorder="1"/>
    <xf numFmtId="0" fontId="6" fillId="0" borderId="6" xfId="0" applyFont="1" applyBorder="1"/>
    <xf numFmtId="165" fontId="6" fillId="0" borderId="6" xfId="1" applyNumberFormat="1" applyFont="1" applyBorder="1"/>
    <xf numFmtId="165" fontId="0" fillId="0" borderId="6" xfId="0" applyNumberFormat="1" applyBorder="1"/>
    <xf numFmtId="14" fontId="0" fillId="2" borderId="6" xfId="0" applyNumberFormat="1" applyFill="1" applyBorder="1"/>
    <xf numFmtId="0" fontId="0" fillId="2" borderId="6" xfId="0" applyFill="1" applyBorder="1" applyAlignment="1">
      <alignment horizontal="left"/>
    </xf>
    <xf numFmtId="0" fontId="0" fillId="0" borderId="6" xfId="0" applyBorder="1"/>
    <xf numFmtId="3" fontId="0" fillId="4" borderId="6" xfId="0" applyNumberFormat="1" applyFill="1" applyBorder="1"/>
    <xf numFmtId="3" fontId="0" fillId="2" borderId="6" xfId="0" applyNumberFormat="1" applyFill="1" applyBorder="1"/>
    <xf numFmtId="0" fontId="0" fillId="0" borderId="11" xfId="0" applyBorder="1"/>
    <xf numFmtId="3" fontId="0" fillId="0" borderId="11" xfId="0" applyNumberFormat="1" applyBorder="1"/>
    <xf numFmtId="14" fontId="0" fillId="2" borderId="11" xfId="0" applyNumberFormat="1" applyFill="1" applyBorder="1"/>
    <xf numFmtId="0" fontId="0" fillId="2" borderId="11" xfId="0" applyFill="1" applyBorder="1"/>
    <xf numFmtId="0" fontId="0" fillId="4" borderId="11" xfId="0" applyFill="1" applyBorder="1"/>
    <xf numFmtId="3" fontId="0" fillId="3" borderId="6" xfId="0" applyNumberFormat="1" applyFill="1" applyBorder="1"/>
    <xf numFmtId="0" fontId="0" fillId="5" borderId="6" xfId="0" applyFill="1" applyBorder="1"/>
    <xf numFmtId="0" fontId="0" fillId="4" borderId="0" xfId="0" applyFill="1"/>
    <xf numFmtId="0" fontId="0" fillId="2" borderId="15" xfId="0" applyFill="1" applyBorder="1"/>
    <xf numFmtId="0" fontId="0" fillId="5" borderId="11" xfId="0" applyFill="1" applyBorder="1"/>
    <xf numFmtId="0" fontId="6" fillId="3" borderId="6" xfId="0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6" fillId="3" borderId="6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2" fillId="0" borderId="17" xfId="0" applyFont="1" applyBorder="1"/>
    <xf numFmtId="0" fontId="7" fillId="0" borderId="6" xfId="0" applyFont="1" applyBorder="1"/>
    <xf numFmtId="0" fontId="2" fillId="0" borderId="6" xfId="0" applyFont="1" applyBorder="1"/>
    <xf numFmtId="14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0" fillId="0" borderId="13" xfId="0" applyBorder="1"/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4" fontId="6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0" fillId="2" borderId="6" xfId="0" applyFill="1" applyBorder="1" applyAlignment="1">
      <alignment horizontal="left" vertical="center"/>
    </xf>
    <xf numFmtId="0" fontId="6" fillId="0" borderId="6" xfId="0" applyFont="1" applyBorder="1" applyAlignment="1">
      <alignment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6" fillId="0" borderId="6" xfId="0" applyFont="1" applyBorder="1" applyAlignment="1">
      <alignment horizontal="left"/>
    </xf>
    <xf numFmtId="14" fontId="5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6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2" borderId="6" xfId="0" applyFont="1" applyFill="1" applyBorder="1" applyAlignment="1">
      <alignment wrapText="1"/>
    </xf>
    <xf numFmtId="0" fontId="6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wrapText="1"/>
    </xf>
    <xf numFmtId="0" fontId="5" fillId="2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2" borderId="1" xfId="0" applyFont="1" applyFill="1" applyBorder="1"/>
    <xf numFmtId="0" fontId="11" fillId="0" borderId="2" xfId="0" applyFont="1" applyBorder="1"/>
    <xf numFmtId="165" fontId="11" fillId="0" borderId="3" xfId="0" applyNumberFormat="1" applyFont="1" applyBorder="1"/>
    <xf numFmtId="165" fontId="11" fillId="2" borderId="6" xfId="0" applyNumberFormat="1" applyFont="1" applyFill="1" applyBorder="1"/>
    <xf numFmtId="17" fontId="3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7" fontId="3" fillId="2" borderId="7" xfId="0" applyNumberFormat="1" applyFont="1" applyFill="1" applyBorder="1" applyAlignment="1">
      <alignment horizontal="center"/>
    </xf>
    <xf numFmtId="17" fontId="3" fillId="2" borderId="8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65" fontId="3" fillId="2" borderId="10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17" fontId="4" fillId="0" borderId="16" xfId="0" applyNumberFormat="1" applyFont="1" applyBorder="1" applyAlignment="1">
      <alignment horizontal="center"/>
    </xf>
    <xf numFmtId="17" fontId="4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7" fontId="3" fillId="0" borderId="8" xfId="0" applyNumberFormat="1" applyFont="1" applyBorder="1" applyAlignment="1">
      <alignment horizontal="center"/>
    </xf>
    <xf numFmtId="17" fontId="3" fillId="0" borderId="10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"/>
  <sheetViews>
    <sheetView topLeftCell="A5" zoomScale="83" workbookViewId="0">
      <selection activeCell="H19" sqref="H19"/>
    </sheetView>
  </sheetViews>
  <sheetFormatPr defaultRowHeight="14.5" x14ac:dyDescent="0.35"/>
  <cols>
    <col min="1" max="1" width="39.7265625" bestFit="1" customWidth="1"/>
    <col min="2" max="2" width="15.1796875" bestFit="1" customWidth="1"/>
    <col min="3" max="3" width="11.6328125" customWidth="1"/>
    <col min="4" max="4" width="15.54296875" style="1" bestFit="1" customWidth="1"/>
    <col min="5" max="5" width="11.6328125" bestFit="1" customWidth="1"/>
    <col min="6" max="6" width="37" bestFit="1" customWidth="1"/>
    <col min="7" max="7" width="18.6328125" bestFit="1" customWidth="1"/>
    <col min="8" max="8" width="22.36328125" style="1" bestFit="1" customWidth="1"/>
    <col min="9" max="9" width="8.08984375" bestFit="1" customWidth="1"/>
    <col min="12" max="12" width="12.7265625" bestFit="1" customWidth="1"/>
    <col min="13" max="13" width="14.6328125" bestFit="1" customWidth="1"/>
    <col min="14" max="14" width="13.54296875" bestFit="1" customWidth="1"/>
    <col min="15" max="15" width="14.6328125" bestFit="1" customWidth="1"/>
    <col min="16" max="16" width="11.1796875" bestFit="1" customWidth="1"/>
  </cols>
  <sheetData>
    <row r="1" spans="1:15" ht="20" x14ac:dyDescent="0.4">
      <c r="A1" s="81" t="s">
        <v>0</v>
      </c>
      <c r="B1" s="84">
        <f>SUM(B6:B1048576)</f>
        <v>128110</v>
      </c>
      <c r="D1"/>
      <c r="H1"/>
      <c r="N1" s="2"/>
    </row>
    <row r="2" spans="1:15" ht="20.5" thickBot="1" x14ac:dyDescent="0.45">
      <c r="A2" s="82" t="s">
        <v>1</v>
      </c>
      <c r="B2" s="83">
        <f>SUM(M6:M1048576)</f>
        <v>122530</v>
      </c>
      <c r="D2"/>
      <c r="H2"/>
      <c r="L2" s="2"/>
      <c r="M2" s="3"/>
      <c r="N2" s="2"/>
    </row>
    <row r="3" spans="1:15" ht="16" thickBot="1" x14ac:dyDescent="0.4">
      <c r="A3" s="4"/>
      <c r="B3" s="5"/>
      <c r="D3"/>
      <c r="H3"/>
      <c r="L3" s="89" t="s">
        <v>2</v>
      </c>
      <c r="M3" s="89"/>
      <c r="N3" s="89"/>
      <c r="O3" s="89"/>
    </row>
    <row r="4" spans="1:15" ht="16" thickBot="1" x14ac:dyDescent="0.4">
      <c r="A4" s="90">
        <v>45748</v>
      </c>
      <c r="B4" s="91"/>
      <c r="C4" s="91"/>
      <c r="D4" s="91"/>
      <c r="E4" s="91"/>
      <c r="F4" s="91"/>
      <c r="G4" s="6" t="s">
        <v>3</v>
      </c>
      <c r="H4" s="92">
        <f>SUM(H6:H23)</f>
        <v>32798</v>
      </c>
      <c r="I4" s="93"/>
      <c r="L4" s="7" t="s">
        <v>4</v>
      </c>
      <c r="M4" s="7" t="s">
        <v>5</v>
      </c>
      <c r="N4" s="7" t="s">
        <v>6</v>
      </c>
      <c r="O4" s="8" t="s">
        <v>7</v>
      </c>
    </row>
    <row r="5" spans="1:15" ht="15.5" customHeight="1" x14ac:dyDescent="0.35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9" t="s">
        <v>14</v>
      </c>
      <c r="H5" s="9" t="s">
        <v>15</v>
      </c>
      <c r="I5" s="9" t="s">
        <v>16</v>
      </c>
      <c r="L5" s="10" t="s">
        <v>17</v>
      </c>
      <c r="M5" s="94" t="s">
        <v>18</v>
      </c>
      <c r="N5" s="95"/>
      <c r="O5" s="7">
        <v>770</v>
      </c>
    </row>
    <row r="6" spans="1:15" x14ac:dyDescent="0.35">
      <c r="A6" s="11" t="s">
        <v>19</v>
      </c>
      <c r="B6" s="11">
        <v>1198</v>
      </c>
      <c r="C6" s="12" t="s">
        <v>20</v>
      </c>
      <c r="D6" s="11"/>
      <c r="E6" s="11" t="s">
        <v>21</v>
      </c>
      <c r="F6" s="13" t="s">
        <v>22</v>
      </c>
      <c r="G6" s="13" t="s">
        <v>23</v>
      </c>
      <c r="H6" s="13">
        <v>1198</v>
      </c>
      <c r="I6" s="14" t="s">
        <v>24</v>
      </c>
      <c r="L6" s="15" t="s">
        <v>25</v>
      </c>
      <c r="M6" s="16">
        <v>25432</v>
      </c>
      <c r="N6" s="17">
        <f>H4</f>
        <v>32798</v>
      </c>
      <c r="O6" s="17">
        <f>O5+(M6-N6)</f>
        <v>-6596</v>
      </c>
    </row>
    <row r="7" spans="1:15" x14ac:dyDescent="0.35">
      <c r="A7" s="13" t="s">
        <v>26</v>
      </c>
      <c r="B7" s="14">
        <v>2396</v>
      </c>
      <c r="C7" s="18" t="s">
        <v>20</v>
      </c>
      <c r="D7" s="13">
        <v>2396</v>
      </c>
      <c r="E7" s="14" t="s">
        <v>27</v>
      </c>
      <c r="F7" s="13" t="s">
        <v>28</v>
      </c>
      <c r="G7" s="13" t="s">
        <v>23</v>
      </c>
      <c r="H7" s="13">
        <v>2396</v>
      </c>
      <c r="I7" s="14" t="s">
        <v>24</v>
      </c>
      <c r="L7" s="15" t="s">
        <v>29</v>
      </c>
      <c r="M7" s="16">
        <v>20309</v>
      </c>
      <c r="N7" s="17">
        <f>H25</f>
        <v>27711</v>
      </c>
      <c r="O7" s="17">
        <f t="shared" ref="O7:O11" si="0">O6+(M7-N7)</f>
        <v>-13998</v>
      </c>
    </row>
    <row r="8" spans="1:15" x14ac:dyDescent="0.35">
      <c r="A8" s="13" t="s">
        <v>30</v>
      </c>
      <c r="B8" s="14">
        <v>1400</v>
      </c>
      <c r="C8" s="18" t="s">
        <v>20</v>
      </c>
      <c r="D8" s="13">
        <v>1400</v>
      </c>
      <c r="E8" s="14" t="s">
        <v>27</v>
      </c>
      <c r="F8" s="13" t="s">
        <v>31</v>
      </c>
      <c r="G8" s="13" t="s">
        <v>23</v>
      </c>
      <c r="H8" s="13">
        <v>1400</v>
      </c>
      <c r="I8" s="14" t="s">
        <v>24</v>
      </c>
      <c r="L8" s="15" t="s">
        <v>32</v>
      </c>
      <c r="M8" s="16">
        <v>53713</v>
      </c>
      <c r="N8" s="17">
        <f>H40</f>
        <v>20456</v>
      </c>
      <c r="O8" s="17">
        <f t="shared" si="0"/>
        <v>19259</v>
      </c>
    </row>
    <row r="9" spans="1:15" x14ac:dyDescent="0.35">
      <c r="A9" s="13" t="s">
        <v>33</v>
      </c>
      <c r="B9" s="14">
        <v>4240</v>
      </c>
      <c r="C9" s="13" t="s">
        <v>34</v>
      </c>
      <c r="D9" s="13">
        <v>4240</v>
      </c>
      <c r="E9" s="14" t="s">
        <v>27</v>
      </c>
      <c r="F9" s="13" t="s">
        <v>35</v>
      </c>
      <c r="G9" s="13" t="s">
        <v>23</v>
      </c>
      <c r="H9" s="13">
        <v>4240</v>
      </c>
      <c r="I9" s="14" t="s">
        <v>24</v>
      </c>
      <c r="L9" s="15" t="s">
        <v>36</v>
      </c>
      <c r="M9" s="16">
        <v>0</v>
      </c>
      <c r="N9" s="17">
        <f>H55</f>
        <v>31064</v>
      </c>
      <c r="O9" s="17">
        <f t="shared" si="0"/>
        <v>-11805</v>
      </c>
    </row>
    <row r="10" spans="1:15" x14ac:dyDescent="0.35">
      <c r="A10" s="13" t="s">
        <v>37</v>
      </c>
      <c r="B10" s="14">
        <v>180</v>
      </c>
      <c r="C10" s="19" t="s">
        <v>38</v>
      </c>
      <c r="D10" s="13">
        <v>180</v>
      </c>
      <c r="E10" s="14" t="s">
        <v>27</v>
      </c>
      <c r="F10" s="13" t="s">
        <v>39</v>
      </c>
      <c r="G10" s="13" t="s">
        <v>23</v>
      </c>
      <c r="H10" s="13">
        <v>180</v>
      </c>
      <c r="I10" s="14" t="s">
        <v>24</v>
      </c>
      <c r="L10" s="15" t="s">
        <v>40</v>
      </c>
      <c r="M10" s="16">
        <v>23076</v>
      </c>
      <c r="N10" s="17">
        <f>H82</f>
        <v>10174</v>
      </c>
      <c r="O10" s="17">
        <f t="shared" si="0"/>
        <v>1097</v>
      </c>
    </row>
    <row r="11" spans="1:15" x14ac:dyDescent="0.35">
      <c r="A11" s="13" t="s">
        <v>41</v>
      </c>
      <c r="B11" s="14">
        <v>1000</v>
      </c>
      <c r="C11" s="18" t="s">
        <v>42</v>
      </c>
      <c r="D11" s="13">
        <v>1000</v>
      </c>
      <c r="E11" s="14" t="s">
        <v>27</v>
      </c>
      <c r="F11" s="13" t="s">
        <v>43</v>
      </c>
      <c r="G11" s="13" t="s">
        <v>23</v>
      </c>
      <c r="H11" s="13">
        <v>1000</v>
      </c>
      <c r="I11" s="14" t="s">
        <v>24</v>
      </c>
      <c r="L11" s="15" t="s">
        <v>44</v>
      </c>
      <c r="M11" s="20"/>
      <c r="N11" s="20">
        <f>H106</f>
        <v>0</v>
      </c>
      <c r="O11" s="17">
        <f t="shared" si="0"/>
        <v>1097</v>
      </c>
    </row>
    <row r="12" spans="1:15" x14ac:dyDescent="0.35">
      <c r="A12" s="13" t="s">
        <v>45</v>
      </c>
      <c r="B12" s="14">
        <v>3660</v>
      </c>
      <c r="C12" s="13" t="s">
        <v>42</v>
      </c>
      <c r="D12" s="13">
        <v>3660</v>
      </c>
      <c r="E12" s="14" t="s">
        <v>27</v>
      </c>
      <c r="F12" s="13" t="s">
        <v>46</v>
      </c>
      <c r="G12" s="13" t="s">
        <v>23</v>
      </c>
      <c r="H12" s="13">
        <v>3660</v>
      </c>
      <c r="I12" s="14" t="s">
        <v>24</v>
      </c>
      <c r="L12" s="15" t="s">
        <v>47</v>
      </c>
      <c r="M12" s="20"/>
      <c r="N12" s="20"/>
      <c r="O12" s="17"/>
    </row>
    <row r="13" spans="1:15" x14ac:dyDescent="0.35">
      <c r="A13" s="11" t="s">
        <v>48</v>
      </c>
      <c r="B13" s="11">
        <v>3769</v>
      </c>
      <c r="C13" s="12">
        <v>45772</v>
      </c>
      <c r="D13" s="11"/>
      <c r="E13" s="11" t="s">
        <v>21</v>
      </c>
      <c r="F13" s="13" t="s">
        <v>49</v>
      </c>
      <c r="G13" s="13" t="s">
        <v>50</v>
      </c>
      <c r="H13" s="13">
        <v>3769</v>
      </c>
      <c r="I13" s="14" t="s">
        <v>24</v>
      </c>
      <c r="L13" s="15" t="s">
        <v>51</v>
      </c>
      <c r="M13" s="20"/>
      <c r="N13" s="20"/>
      <c r="O13" s="17"/>
    </row>
    <row r="14" spans="1:15" x14ac:dyDescent="0.35">
      <c r="A14" s="13" t="s">
        <v>26</v>
      </c>
      <c r="B14" s="14">
        <v>763</v>
      </c>
      <c r="C14" s="13" t="s">
        <v>52</v>
      </c>
      <c r="D14" s="13">
        <v>763</v>
      </c>
      <c r="E14" s="14" t="s">
        <v>27</v>
      </c>
      <c r="F14" s="13" t="s">
        <v>53</v>
      </c>
      <c r="G14" s="13" t="s">
        <v>23</v>
      </c>
      <c r="H14" s="13">
        <v>763</v>
      </c>
      <c r="I14" s="14" t="s">
        <v>24</v>
      </c>
      <c r="L14" s="15" t="s">
        <v>54</v>
      </c>
      <c r="M14" s="20"/>
      <c r="N14" s="20"/>
      <c r="O14" s="17"/>
    </row>
    <row r="15" spans="1:15" x14ac:dyDescent="0.35">
      <c r="A15" s="11" t="s">
        <v>55</v>
      </c>
      <c r="B15" s="11">
        <v>1000</v>
      </c>
      <c r="C15" s="11" t="s">
        <v>56</v>
      </c>
      <c r="D15" s="11"/>
      <c r="E15" s="11" t="s">
        <v>21</v>
      </c>
      <c r="F15" s="13" t="s">
        <v>57</v>
      </c>
      <c r="G15" s="13" t="s">
        <v>23</v>
      </c>
      <c r="H15" s="13">
        <v>1000</v>
      </c>
      <c r="I15" s="14" t="s">
        <v>24</v>
      </c>
      <c r="L15" s="15" t="s">
        <v>58</v>
      </c>
      <c r="M15" s="20"/>
      <c r="N15" s="20"/>
      <c r="O15" s="17"/>
    </row>
    <row r="16" spans="1:15" x14ac:dyDescent="0.35">
      <c r="A16" s="13" t="s">
        <v>59</v>
      </c>
      <c r="B16" s="14">
        <v>1590</v>
      </c>
      <c r="C16" s="13" t="s">
        <v>56</v>
      </c>
      <c r="D16" s="13">
        <v>1590</v>
      </c>
      <c r="E16" s="14" t="s">
        <v>27</v>
      </c>
      <c r="F16" s="13" t="s">
        <v>22</v>
      </c>
      <c r="G16" s="13" t="s">
        <v>23</v>
      </c>
      <c r="H16" s="13">
        <v>1590</v>
      </c>
      <c r="I16" s="14" t="s">
        <v>24</v>
      </c>
      <c r="L16" s="15" t="s">
        <v>60</v>
      </c>
      <c r="M16" s="20"/>
      <c r="N16" s="20"/>
      <c r="O16" s="17"/>
    </row>
    <row r="17" spans="1:15" x14ac:dyDescent="0.35">
      <c r="A17" s="20" t="s">
        <v>61</v>
      </c>
      <c r="B17" s="21">
        <v>2100</v>
      </c>
      <c r="C17" s="18">
        <v>45770</v>
      </c>
      <c r="D17" s="22">
        <v>2100</v>
      </c>
      <c r="E17" s="14" t="s">
        <v>27</v>
      </c>
      <c r="F17" s="13" t="s">
        <v>49</v>
      </c>
      <c r="G17" s="13" t="s">
        <v>50</v>
      </c>
      <c r="H17" s="22">
        <v>2100</v>
      </c>
      <c r="I17" s="14" t="s">
        <v>24</v>
      </c>
      <c r="L17" s="15" t="s">
        <v>17</v>
      </c>
      <c r="M17" s="20"/>
      <c r="N17" s="20"/>
      <c r="O17" s="17"/>
    </row>
    <row r="18" spans="1:15" x14ac:dyDescent="0.35">
      <c r="A18" s="13" t="s">
        <v>62</v>
      </c>
      <c r="B18" s="14">
        <v>1310</v>
      </c>
      <c r="C18" s="13" t="s">
        <v>63</v>
      </c>
      <c r="D18" s="13">
        <v>1310</v>
      </c>
      <c r="E18" s="14" t="s">
        <v>27</v>
      </c>
      <c r="F18" s="13" t="s">
        <v>22</v>
      </c>
      <c r="G18" s="13" t="s">
        <v>23</v>
      </c>
      <c r="H18" s="13">
        <v>1310</v>
      </c>
      <c r="I18" s="14" t="s">
        <v>24</v>
      </c>
      <c r="M18" s="96"/>
      <c r="N18" s="96"/>
    </row>
    <row r="19" spans="1:15" x14ac:dyDescent="0.35">
      <c r="A19" s="13" t="s">
        <v>64</v>
      </c>
      <c r="B19" s="14">
        <v>3600</v>
      </c>
      <c r="C19" s="18">
        <v>45773</v>
      </c>
      <c r="D19" s="13">
        <v>3600</v>
      </c>
      <c r="E19" s="14" t="s">
        <v>27</v>
      </c>
      <c r="F19" s="13" t="s">
        <v>49</v>
      </c>
      <c r="G19" s="13" t="s">
        <v>50</v>
      </c>
      <c r="H19" s="13">
        <v>3600</v>
      </c>
      <c r="I19" s="14" t="s">
        <v>24</v>
      </c>
    </row>
    <row r="20" spans="1:15" x14ac:dyDescent="0.35">
      <c r="A20" s="13" t="s">
        <v>65</v>
      </c>
      <c r="B20" s="14">
        <v>962</v>
      </c>
      <c r="C20" s="13" t="s">
        <v>56</v>
      </c>
      <c r="D20" s="13">
        <v>962</v>
      </c>
      <c r="E20" s="14" t="s">
        <v>27</v>
      </c>
      <c r="F20" s="13" t="s">
        <v>57</v>
      </c>
      <c r="G20" s="13" t="s">
        <v>23</v>
      </c>
      <c r="H20" s="13">
        <v>962</v>
      </c>
      <c r="I20" s="14" t="s">
        <v>24</v>
      </c>
    </row>
    <row r="21" spans="1:15" x14ac:dyDescent="0.35">
      <c r="A21" s="13" t="s">
        <v>66</v>
      </c>
      <c r="B21" s="14">
        <v>1200</v>
      </c>
      <c r="C21" s="13" t="s">
        <v>56</v>
      </c>
      <c r="D21" s="13">
        <v>1200</v>
      </c>
      <c r="E21" s="14" t="s">
        <v>27</v>
      </c>
      <c r="F21" s="13" t="s">
        <v>46</v>
      </c>
      <c r="G21" s="13" t="s">
        <v>23</v>
      </c>
      <c r="H21" s="13">
        <v>1200</v>
      </c>
      <c r="I21" s="14" t="s">
        <v>24</v>
      </c>
    </row>
    <row r="22" spans="1:15" x14ac:dyDescent="0.35">
      <c r="A22" s="13" t="s">
        <v>67</v>
      </c>
      <c r="B22" s="14">
        <v>937</v>
      </c>
      <c r="C22" s="13" t="s">
        <v>56</v>
      </c>
      <c r="D22" s="13">
        <v>937</v>
      </c>
      <c r="E22" s="14" t="s">
        <v>27</v>
      </c>
      <c r="F22" s="13" t="s">
        <v>57</v>
      </c>
      <c r="G22" s="13" t="s">
        <v>23</v>
      </c>
      <c r="H22" s="13">
        <v>937</v>
      </c>
      <c r="I22" s="14" t="s">
        <v>24</v>
      </c>
    </row>
    <row r="23" spans="1:15" x14ac:dyDescent="0.35">
      <c r="A23" s="13" t="s">
        <v>68</v>
      </c>
      <c r="B23" s="14">
        <v>1493</v>
      </c>
      <c r="C23" s="13" t="s">
        <v>69</v>
      </c>
      <c r="D23" s="13">
        <v>1493</v>
      </c>
      <c r="E23" s="14" t="s">
        <v>27</v>
      </c>
      <c r="F23" s="13" t="s">
        <v>57</v>
      </c>
      <c r="G23" s="13" t="s">
        <v>23</v>
      </c>
      <c r="H23" s="13">
        <v>1493</v>
      </c>
      <c r="I23" s="14" t="s">
        <v>24</v>
      </c>
    </row>
    <row r="24" spans="1:15" ht="15" thickBot="1" x14ac:dyDescent="0.4"/>
    <row r="25" spans="1:15" ht="16" thickBot="1" x14ac:dyDescent="0.4">
      <c r="A25" s="85">
        <v>45778</v>
      </c>
      <c r="B25" s="86"/>
      <c r="C25" s="86"/>
      <c r="D25" s="86"/>
      <c r="E25" s="86"/>
      <c r="F25" s="86"/>
      <c r="G25" s="6" t="s">
        <v>3</v>
      </c>
      <c r="H25" s="87">
        <f>SUM(H26:H38)</f>
        <v>27711</v>
      </c>
      <c r="I25" s="88"/>
    </row>
    <row r="26" spans="1:15" x14ac:dyDescent="0.35">
      <c r="A26" s="23" t="s">
        <v>70</v>
      </c>
      <c r="B26" s="24">
        <v>3140</v>
      </c>
      <c r="C26" s="25">
        <v>45784</v>
      </c>
      <c r="D26" s="26"/>
      <c r="E26" s="26" t="s">
        <v>21</v>
      </c>
      <c r="F26" s="26" t="s">
        <v>49</v>
      </c>
      <c r="G26" s="26" t="s">
        <v>50</v>
      </c>
      <c r="H26" s="26">
        <v>3140</v>
      </c>
      <c r="I26" s="27" t="s">
        <v>24</v>
      </c>
    </row>
    <row r="27" spans="1:15" x14ac:dyDescent="0.35">
      <c r="A27" s="13" t="s">
        <v>71</v>
      </c>
      <c r="B27" s="14">
        <v>500</v>
      </c>
      <c r="C27" s="13" t="s">
        <v>72</v>
      </c>
      <c r="D27" s="13">
        <v>500</v>
      </c>
      <c r="E27" s="14" t="s">
        <v>27</v>
      </c>
      <c r="F27" s="13" t="s">
        <v>49</v>
      </c>
      <c r="G27" s="13" t="s">
        <v>23</v>
      </c>
      <c r="H27" s="13">
        <v>500</v>
      </c>
      <c r="I27" s="14" t="s">
        <v>24</v>
      </c>
    </row>
    <row r="28" spans="1:15" x14ac:dyDescent="0.35">
      <c r="A28" s="11" t="s">
        <v>73</v>
      </c>
      <c r="B28" s="28">
        <v>1100</v>
      </c>
      <c r="C28" s="12">
        <v>45786</v>
      </c>
      <c r="D28" s="11"/>
      <c r="E28" s="11" t="s">
        <v>21</v>
      </c>
      <c r="F28" s="13" t="s">
        <v>49</v>
      </c>
      <c r="G28" s="13" t="s">
        <v>50</v>
      </c>
      <c r="H28" s="13">
        <v>1100</v>
      </c>
      <c r="I28" s="14" t="s">
        <v>24</v>
      </c>
    </row>
    <row r="29" spans="1:15" x14ac:dyDescent="0.35">
      <c r="A29" s="11" t="s">
        <v>74</v>
      </c>
      <c r="B29" s="11">
        <v>2600</v>
      </c>
      <c r="C29" s="12">
        <v>45791</v>
      </c>
      <c r="D29" s="11"/>
      <c r="E29" s="11" t="s">
        <v>21</v>
      </c>
      <c r="F29" s="13" t="s">
        <v>49</v>
      </c>
      <c r="G29" s="13" t="s">
        <v>50</v>
      </c>
      <c r="H29" s="13">
        <v>2600</v>
      </c>
      <c r="I29" s="14" t="s">
        <v>24</v>
      </c>
    </row>
    <row r="30" spans="1:15" x14ac:dyDescent="0.35">
      <c r="A30" s="13" t="s">
        <v>68</v>
      </c>
      <c r="B30" s="14">
        <v>1654</v>
      </c>
      <c r="C30" s="13" t="s">
        <v>75</v>
      </c>
      <c r="D30" s="13">
        <v>1654</v>
      </c>
      <c r="E30" s="14" t="s">
        <v>27</v>
      </c>
      <c r="F30" s="13" t="s">
        <v>53</v>
      </c>
      <c r="G30" s="13" t="s">
        <v>23</v>
      </c>
      <c r="H30" s="13">
        <v>1654</v>
      </c>
      <c r="I30" s="14" t="s">
        <v>24</v>
      </c>
    </row>
    <row r="31" spans="1:15" x14ac:dyDescent="0.35">
      <c r="A31" s="13" t="s">
        <v>76</v>
      </c>
      <c r="B31" s="14">
        <v>500</v>
      </c>
      <c r="C31" s="13" t="s">
        <v>77</v>
      </c>
      <c r="D31" s="29">
        <v>560</v>
      </c>
      <c r="E31" s="14" t="s">
        <v>27</v>
      </c>
      <c r="F31" s="13" t="s">
        <v>49</v>
      </c>
      <c r="G31" s="13" t="s">
        <v>23</v>
      </c>
      <c r="H31" s="13">
        <v>560</v>
      </c>
      <c r="I31" s="14" t="s">
        <v>24</v>
      </c>
    </row>
    <row r="32" spans="1:15" x14ac:dyDescent="0.35">
      <c r="A32" s="13" t="s">
        <v>64</v>
      </c>
      <c r="B32" s="14">
        <v>3600</v>
      </c>
      <c r="C32" s="13" t="s">
        <v>78</v>
      </c>
      <c r="D32" s="29">
        <v>4200</v>
      </c>
      <c r="E32" s="14" t="s">
        <v>27</v>
      </c>
      <c r="F32" s="13" t="s">
        <v>57</v>
      </c>
      <c r="G32" s="13" t="s">
        <v>23</v>
      </c>
      <c r="H32" s="13">
        <v>4200</v>
      </c>
      <c r="I32" s="14" t="s">
        <v>24</v>
      </c>
    </row>
    <row r="33" spans="1:9" x14ac:dyDescent="0.35">
      <c r="A33" s="13" t="s">
        <v>79</v>
      </c>
      <c r="B33" s="14">
        <v>877</v>
      </c>
      <c r="C33" s="13" t="s">
        <v>78</v>
      </c>
      <c r="D33" s="13">
        <v>877</v>
      </c>
      <c r="E33" s="14" t="s">
        <v>27</v>
      </c>
      <c r="F33" s="13" t="s">
        <v>57</v>
      </c>
      <c r="G33" s="13" t="s">
        <v>23</v>
      </c>
      <c r="H33" s="13">
        <v>877</v>
      </c>
      <c r="I33" s="14" t="s">
        <v>24</v>
      </c>
    </row>
    <row r="34" spans="1:9" x14ac:dyDescent="0.35">
      <c r="A34" s="13" t="s">
        <v>80</v>
      </c>
      <c r="B34" s="14">
        <v>1099</v>
      </c>
      <c r="C34" s="13" t="s">
        <v>78</v>
      </c>
      <c r="D34" s="13">
        <v>1099</v>
      </c>
      <c r="E34" s="14" t="s">
        <v>27</v>
      </c>
      <c r="F34" s="13" t="s">
        <v>57</v>
      </c>
      <c r="G34" s="13" t="s">
        <v>23</v>
      </c>
      <c r="H34" s="13">
        <v>1099</v>
      </c>
      <c r="I34" s="14" t="s">
        <v>24</v>
      </c>
    </row>
    <row r="35" spans="1:9" x14ac:dyDescent="0.35">
      <c r="A35" s="13" t="s">
        <v>81</v>
      </c>
      <c r="B35" s="14">
        <v>1000</v>
      </c>
      <c r="C35" s="13" t="s">
        <v>82</v>
      </c>
      <c r="D35" s="13">
        <v>1000</v>
      </c>
      <c r="E35" s="14" t="s">
        <v>27</v>
      </c>
      <c r="F35" s="13" t="s">
        <v>49</v>
      </c>
      <c r="G35" s="13" t="s">
        <v>23</v>
      </c>
      <c r="H35" s="13">
        <v>1000</v>
      </c>
      <c r="I35" s="14" t="s">
        <v>24</v>
      </c>
    </row>
    <row r="36" spans="1:9" x14ac:dyDescent="0.35">
      <c r="A36" s="13" t="s">
        <v>83</v>
      </c>
      <c r="B36" s="14">
        <v>1241</v>
      </c>
      <c r="C36" s="13" t="s">
        <v>84</v>
      </c>
      <c r="D36" s="13">
        <v>1241</v>
      </c>
      <c r="E36" s="14" t="s">
        <v>27</v>
      </c>
      <c r="F36" s="13" t="s">
        <v>85</v>
      </c>
      <c r="G36" s="13" t="s">
        <v>23</v>
      </c>
      <c r="H36" s="13">
        <v>1241</v>
      </c>
      <c r="I36" s="14" t="s">
        <v>24</v>
      </c>
    </row>
    <row r="37" spans="1:9" x14ac:dyDescent="0.35">
      <c r="A37" s="13" t="s">
        <v>86</v>
      </c>
      <c r="B37" s="14">
        <v>9251</v>
      </c>
      <c r="C37" s="13" t="s">
        <v>84</v>
      </c>
      <c r="D37" s="29">
        <v>8754</v>
      </c>
      <c r="E37" s="14" t="s">
        <v>27</v>
      </c>
      <c r="F37" s="13" t="s">
        <v>46</v>
      </c>
      <c r="G37" s="13" t="s">
        <v>23</v>
      </c>
      <c r="H37" s="13">
        <v>8754</v>
      </c>
      <c r="I37" s="14" t="s">
        <v>24</v>
      </c>
    </row>
    <row r="38" spans="1:9" x14ac:dyDescent="0.35">
      <c r="A38" s="13" t="s">
        <v>87</v>
      </c>
      <c r="B38" s="30">
        <v>986</v>
      </c>
      <c r="C38" s="13" t="s">
        <v>78</v>
      </c>
      <c r="D38" s="13">
        <v>986</v>
      </c>
      <c r="E38" s="14" t="s">
        <v>27</v>
      </c>
      <c r="F38" s="13" t="s">
        <v>49</v>
      </c>
      <c r="G38" s="13" t="s">
        <v>23</v>
      </c>
      <c r="H38" s="13">
        <v>986</v>
      </c>
      <c r="I38" s="14" t="s">
        <v>24</v>
      </c>
    </row>
    <row r="39" spans="1:9" ht="15" thickBot="1" x14ac:dyDescent="0.4">
      <c r="A39" s="31"/>
    </row>
    <row r="40" spans="1:9" ht="16" thickBot="1" x14ac:dyDescent="0.4">
      <c r="A40" s="85">
        <v>45809</v>
      </c>
      <c r="B40" s="101"/>
      <c r="C40" s="101"/>
      <c r="D40" s="101"/>
      <c r="E40" s="101"/>
      <c r="F40" s="102"/>
      <c r="G40" s="6" t="s">
        <v>3</v>
      </c>
      <c r="H40" s="87">
        <f>SUM(H41:H53)</f>
        <v>20456</v>
      </c>
      <c r="I40" s="88"/>
    </row>
    <row r="41" spans="1:9" x14ac:dyDescent="0.35">
      <c r="A41" s="26" t="s">
        <v>88</v>
      </c>
      <c r="B41" s="27">
        <v>962</v>
      </c>
      <c r="C41" s="26" t="s">
        <v>89</v>
      </c>
      <c r="D41" s="32">
        <v>783</v>
      </c>
      <c r="E41" s="27" t="s">
        <v>27</v>
      </c>
      <c r="F41" s="26" t="s">
        <v>49</v>
      </c>
      <c r="G41" s="26" t="s">
        <v>23</v>
      </c>
      <c r="H41" s="26">
        <v>783</v>
      </c>
      <c r="I41" s="27" t="s">
        <v>24</v>
      </c>
    </row>
    <row r="42" spans="1:9" x14ac:dyDescent="0.35">
      <c r="A42" s="13" t="s">
        <v>90</v>
      </c>
      <c r="B42" s="14">
        <v>986</v>
      </c>
      <c r="C42" s="13" t="s">
        <v>89</v>
      </c>
      <c r="D42" s="13">
        <v>986</v>
      </c>
      <c r="E42" s="14" t="s">
        <v>27</v>
      </c>
      <c r="F42" s="13" t="s">
        <v>49</v>
      </c>
      <c r="G42" s="13" t="s">
        <v>23</v>
      </c>
      <c r="H42" s="13">
        <v>986</v>
      </c>
      <c r="I42" s="14" t="s">
        <v>24</v>
      </c>
    </row>
    <row r="43" spans="1:9" x14ac:dyDescent="0.35">
      <c r="A43" s="13" t="s">
        <v>91</v>
      </c>
      <c r="B43" s="14">
        <v>2250</v>
      </c>
      <c r="C43" s="13" t="s">
        <v>89</v>
      </c>
      <c r="D43" s="13">
        <v>2250</v>
      </c>
      <c r="E43" s="14" t="s">
        <v>27</v>
      </c>
      <c r="F43" s="13" t="s">
        <v>49</v>
      </c>
      <c r="G43" s="13" t="s">
        <v>23</v>
      </c>
      <c r="H43" s="13">
        <v>2250</v>
      </c>
      <c r="I43" s="14" t="s">
        <v>24</v>
      </c>
    </row>
    <row r="44" spans="1:9" x14ac:dyDescent="0.35">
      <c r="A44" s="13" t="s">
        <v>92</v>
      </c>
      <c r="B44" s="14">
        <v>1040</v>
      </c>
      <c r="C44" s="13" t="s">
        <v>89</v>
      </c>
      <c r="D44" s="13">
        <v>1040</v>
      </c>
      <c r="E44" s="14" t="s">
        <v>27</v>
      </c>
      <c r="F44" s="13" t="s">
        <v>49</v>
      </c>
      <c r="G44" s="13" t="s">
        <v>23</v>
      </c>
      <c r="H44" s="13">
        <v>1040</v>
      </c>
      <c r="I44" s="14" t="s">
        <v>24</v>
      </c>
    </row>
    <row r="45" spans="1:9" x14ac:dyDescent="0.35">
      <c r="A45" s="13" t="s">
        <v>62</v>
      </c>
      <c r="B45" s="14">
        <v>887</v>
      </c>
      <c r="C45" s="13" t="s">
        <v>89</v>
      </c>
      <c r="D45" s="13">
        <v>887</v>
      </c>
      <c r="E45" s="14" t="s">
        <v>27</v>
      </c>
      <c r="F45" s="13" t="s">
        <v>93</v>
      </c>
      <c r="G45" s="13" t="s">
        <v>23</v>
      </c>
      <c r="H45" s="13">
        <v>887</v>
      </c>
      <c r="I45" s="14" t="s">
        <v>24</v>
      </c>
    </row>
    <row r="46" spans="1:9" x14ac:dyDescent="0.35">
      <c r="A46" s="13" t="s">
        <v>94</v>
      </c>
      <c r="B46" s="14">
        <v>3990</v>
      </c>
      <c r="C46" s="13" t="s">
        <v>95</v>
      </c>
      <c r="D46" s="29">
        <v>3770</v>
      </c>
      <c r="E46" s="14" t="s">
        <v>27</v>
      </c>
      <c r="F46" s="13" t="s">
        <v>96</v>
      </c>
      <c r="G46" s="13" t="s">
        <v>23</v>
      </c>
      <c r="H46" s="13">
        <v>3770</v>
      </c>
      <c r="I46" s="14" t="s">
        <v>24</v>
      </c>
    </row>
    <row r="47" spans="1:9" x14ac:dyDescent="0.35">
      <c r="A47" s="13" t="s">
        <v>97</v>
      </c>
      <c r="B47" s="14">
        <v>330</v>
      </c>
      <c r="C47" s="13" t="s">
        <v>98</v>
      </c>
      <c r="D47" s="13">
        <v>330</v>
      </c>
      <c r="E47" s="14" t="s">
        <v>27</v>
      </c>
      <c r="F47" s="13" t="s">
        <v>99</v>
      </c>
      <c r="G47" s="13" t="s">
        <v>23</v>
      </c>
      <c r="H47" s="13">
        <v>330</v>
      </c>
      <c r="I47" s="14" t="s">
        <v>24</v>
      </c>
    </row>
    <row r="48" spans="1:9" x14ac:dyDescent="0.35">
      <c r="A48" s="13" t="s">
        <v>100</v>
      </c>
      <c r="B48" s="14">
        <v>515</v>
      </c>
      <c r="C48" s="13" t="s">
        <v>98</v>
      </c>
      <c r="D48" s="13">
        <v>515</v>
      </c>
      <c r="E48" s="14" t="s">
        <v>27</v>
      </c>
      <c r="F48" s="13" t="s">
        <v>101</v>
      </c>
      <c r="G48" s="13" t="s">
        <v>23</v>
      </c>
      <c r="H48" s="13">
        <v>515</v>
      </c>
      <c r="I48" s="14" t="s">
        <v>24</v>
      </c>
    </row>
    <row r="49" spans="1:9" x14ac:dyDescent="0.35">
      <c r="A49" s="13" t="s">
        <v>102</v>
      </c>
      <c r="B49" s="14">
        <v>2055</v>
      </c>
      <c r="C49" s="13" t="s">
        <v>98</v>
      </c>
      <c r="D49" s="13">
        <v>2055</v>
      </c>
      <c r="E49" s="14" t="s">
        <v>27</v>
      </c>
      <c r="F49" s="13" t="s">
        <v>103</v>
      </c>
      <c r="G49" s="13" t="s">
        <v>23</v>
      </c>
      <c r="H49" s="13">
        <v>2055</v>
      </c>
      <c r="I49" s="14" t="s">
        <v>24</v>
      </c>
    </row>
    <row r="50" spans="1:9" x14ac:dyDescent="0.35">
      <c r="A50" s="13" t="s">
        <v>104</v>
      </c>
      <c r="B50" s="14">
        <v>1200</v>
      </c>
      <c r="C50" s="13" t="s">
        <v>105</v>
      </c>
      <c r="D50" s="13">
        <v>1200</v>
      </c>
      <c r="E50" s="14" t="s">
        <v>27</v>
      </c>
      <c r="F50" s="13" t="s">
        <v>106</v>
      </c>
      <c r="G50" s="13" t="s">
        <v>23</v>
      </c>
      <c r="H50" s="13">
        <v>1200</v>
      </c>
      <c r="I50" s="14" t="s">
        <v>24</v>
      </c>
    </row>
    <row r="51" spans="1:9" x14ac:dyDescent="0.35">
      <c r="A51" s="13" t="s">
        <v>107</v>
      </c>
      <c r="B51" s="14">
        <v>1200</v>
      </c>
      <c r="C51" s="13" t="s">
        <v>108</v>
      </c>
      <c r="D51" s="13">
        <v>1200</v>
      </c>
      <c r="E51" s="14" t="s">
        <v>27</v>
      </c>
      <c r="F51" s="13" t="s">
        <v>109</v>
      </c>
      <c r="G51" s="13" t="s">
        <v>23</v>
      </c>
      <c r="H51" s="13">
        <v>1200</v>
      </c>
      <c r="I51" s="14" t="s">
        <v>24</v>
      </c>
    </row>
    <row r="52" spans="1:9" x14ac:dyDescent="0.35">
      <c r="A52" s="33" t="s">
        <v>110</v>
      </c>
      <c r="B52" s="11">
        <v>1200</v>
      </c>
      <c r="C52" s="12">
        <v>45834</v>
      </c>
      <c r="D52" s="11"/>
      <c r="E52" s="11" t="s">
        <v>21</v>
      </c>
      <c r="F52" s="13" t="s">
        <v>49</v>
      </c>
      <c r="G52" s="13" t="s">
        <v>50</v>
      </c>
      <c r="H52" s="13">
        <v>1200</v>
      </c>
      <c r="I52" s="14" t="s">
        <v>24</v>
      </c>
    </row>
    <row r="53" spans="1:9" x14ac:dyDescent="0.35">
      <c r="A53" s="34" t="s">
        <v>111</v>
      </c>
      <c r="B53" s="11">
        <v>4240</v>
      </c>
      <c r="C53" s="12">
        <v>45834</v>
      </c>
      <c r="D53" s="11"/>
      <c r="E53" s="11" t="s">
        <v>21</v>
      </c>
      <c r="F53" s="13" t="s">
        <v>49</v>
      </c>
      <c r="G53" s="13" t="s">
        <v>50</v>
      </c>
      <c r="H53" s="13">
        <v>4240</v>
      </c>
      <c r="I53" s="14" t="s">
        <v>24</v>
      </c>
    </row>
    <row r="54" spans="1:9" ht="15" thickBot="1" x14ac:dyDescent="0.4"/>
    <row r="55" spans="1:9" ht="16" thickBot="1" x14ac:dyDescent="0.4">
      <c r="A55" s="85">
        <v>45839</v>
      </c>
      <c r="B55" s="101"/>
      <c r="C55" s="101"/>
      <c r="D55" s="101"/>
      <c r="E55" s="101"/>
      <c r="F55" s="102"/>
      <c r="G55" s="6" t="s">
        <v>3</v>
      </c>
      <c r="H55" s="87">
        <f>SUM(H56:H80)</f>
        <v>31064</v>
      </c>
      <c r="I55" s="88"/>
    </row>
    <row r="56" spans="1:9" x14ac:dyDescent="0.35">
      <c r="A56" s="13" t="s">
        <v>112</v>
      </c>
      <c r="B56" s="14">
        <v>1777</v>
      </c>
      <c r="C56" s="13" t="s">
        <v>113</v>
      </c>
      <c r="D56" s="26">
        <v>1777</v>
      </c>
      <c r="E56" s="14" t="s">
        <v>27</v>
      </c>
      <c r="F56" s="13" t="s">
        <v>114</v>
      </c>
      <c r="G56" s="13" t="s">
        <v>23</v>
      </c>
      <c r="H56" s="26">
        <v>1777</v>
      </c>
      <c r="I56" s="27" t="s">
        <v>24</v>
      </c>
    </row>
    <row r="57" spans="1:9" x14ac:dyDescent="0.35">
      <c r="A57" s="13" t="s">
        <v>115</v>
      </c>
      <c r="B57" s="14">
        <v>2840</v>
      </c>
      <c r="C57" s="13" t="s">
        <v>113</v>
      </c>
      <c r="D57" s="13">
        <v>2840</v>
      </c>
      <c r="E57" s="14" t="s">
        <v>27</v>
      </c>
      <c r="F57" s="13" t="s">
        <v>116</v>
      </c>
      <c r="G57" s="13" t="s">
        <v>23</v>
      </c>
      <c r="H57" s="13">
        <v>2840</v>
      </c>
      <c r="I57" s="14" t="s">
        <v>24</v>
      </c>
    </row>
    <row r="58" spans="1:9" x14ac:dyDescent="0.35">
      <c r="A58" s="13" t="s">
        <v>117</v>
      </c>
      <c r="B58" s="14">
        <v>1313</v>
      </c>
      <c r="C58" s="13" t="s">
        <v>113</v>
      </c>
      <c r="D58" s="13">
        <v>1313</v>
      </c>
      <c r="E58" s="14" t="s">
        <v>27</v>
      </c>
      <c r="F58" s="13" t="s">
        <v>49</v>
      </c>
      <c r="G58" s="13" t="s">
        <v>23</v>
      </c>
      <c r="H58" s="13">
        <v>1313</v>
      </c>
      <c r="I58" s="14" t="s">
        <v>24</v>
      </c>
    </row>
    <row r="59" spans="1:9" x14ac:dyDescent="0.35">
      <c r="A59" s="13" t="s">
        <v>118</v>
      </c>
      <c r="B59" s="14">
        <v>188</v>
      </c>
      <c r="C59" s="13" t="s">
        <v>113</v>
      </c>
      <c r="D59" s="13">
        <v>188</v>
      </c>
      <c r="E59" s="14" t="s">
        <v>27</v>
      </c>
      <c r="F59" s="13" t="s">
        <v>119</v>
      </c>
      <c r="G59" s="13" t="s">
        <v>23</v>
      </c>
      <c r="H59" s="13">
        <v>188</v>
      </c>
      <c r="I59" s="14" t="s">
        <v>24</v>
      </c>
    </row>
    <row r="60" spans="1:9" x14ac:dyDescent="0.35">
      <c r="A60" s="13" t="s">
        <v>120</v>
      </c>
      <c r="B60" s="14">
        <v>1297</v>
      </c>
      <c r="C60" s="18">
        <v>45846</v>
      </c>
      <c r="D60" s="29">
        <v>1124</v>
      </c>
      <c r="E60" s="14" t="s">
        <v>27</v>
      </c>
      <c r="F60" s="13" t="s">
        <v>49</v>
      </c>
      <c r="G60" s="13" t="s">
        <v>23</v>
      </c>
      <c r="H60" s="13">
        <v>1124</v>
      </c>
      <c r="I60" s="14" t="s">
        <v>24</v>
      </c>
    </row>
    <row r="61" spans="1:9" x14ac:dyDescent="0.35">
      <c r="A61" s="35" t="s">
        <v>121</v>
      </c>
      <c r="B61" s="11">
        <v>1550</v>
      </c>
      <c r="C61" s="12">
        <v>45846</v>
      </c>
      <c r="D61" s="11"/>
      <c r="E61" s="11" t="s">
        <v>21</v>
      </c>
      <c r="F61" s="13" t="s">
        <v>49</v>
      </c>
      <c r="G61" s="13" t="s">
        <v>50</v>
      </c>
      <c r="H61" s="13">
        <v>1550</v>
      </c>
      <c r="I61" s="14" t="s">
        <v>24</v>
      </c>
    </row>
    <row r="62" spans="1:9" x14ac:dyDescent="0.35">
      <c r="A62" s="36" t="s">
        <v>122</v>
      </c>
      <c r="B62" s="11">
        <v>1200</v>
      </c>
      <c r="C62" s="12">
        <v>45846</v>
      </c>
      <c r="D62" s="11"/>
      <c r="E62" s="11" t="s">
        <v>21</v>
      </c>
      <c r="F62" s="13" t="s">
        <v>49</v>
      </c>
      <c r="G62" s="13" t="s">
        <v>50</v>
      </c>
      <c r="H62" s="13">
        <v>1200</v>
      </c>
      <c r="I62" s="14" t="s">
        <v>24</v>
      </c>
    </row>
    <row r="63" spans="1:9" x14ac:dyDescent="0.35">
      <c r="A63" s="13" t="s">
        <v>123</v>
      </c>
      <c r="B63" s="14">
        <v>740</v>
      </c>
      <c r="C63" s="13" t="s">
        <v>124</v>
      </c>
      <c r="D63" s="13">
        <v>740</v>
      </c>
      <c r="E63" s="14" t="s">
        <v>27</v>
      </c>
      <c r="F63" s="13" t="s">
        <v>49</v>
      </c>
      <c r="G63" s="13" t="s">
        <v>23</v>
      </c>
      <c r="H63" s="13">
        <v>740</v>
      </c>
      <c r="I63" s="14" t="s">
        <v>24</v>
      </c>
    </row>
    <row r="64" spans="1:9" x14ac:dyDescent="0.35">
      <c r="A64" s="13" t="s">
        <v>64</v>
      </c>
      <c r="B64" s="14">
        <v>1800</v>
      </c>
      <c r="C64" s="13" t="s">
        <v>125</v>
      </c>
      <c r="D64" s="13">
        <v>1800</v>
      </c>
      <c r="E64" s="14" t="s">
        <v>27</v>
      </c>
      <c r="F64" s="13" t="s">
        <v>49</v>
      </c>
      <c r="G64" s="13" t="s">
        <v>23</v>
      </c>
      <c r="H64" s="13">
        <v>1800</v>
      </c>
      <c r="I64" s="14" t="s">
        <v>24</v>
      </c>
    </row>
    <row r="65" spans="1:9" x14ac:dyDescent="0.35">
      <c r="A65" s="11" t="s">
        <v>126</v>
      </c>
      <c r="B65" s="11">
        <v>712</v>
      </c>
      <c r="C65" s="12">
        <v>45862</v>
      </c>
      <c r="D65" s="11"/>
      <c r="E65" s="11" t="s">
        <v>21</v>
      </c>
      <c r="F65" s="13" t="s">
        <v>49</v>
      </c>
      <c r="G65" s="13" t="s">
        <v>50</v>
      </c>
      <c r="H65" s="13">
        <v>712</v>
      </c>
      <c r="I65" s="14" t="s">
        <v>24</v>
      </c>
    </row>
    <row r="66" spans="1:9" x14ac:dyDescent="0.35">
      <c r="A66" s="13" t="s">
        <v>126</v>
      </c>
      <c r="B66" s="14">
        <v>785</v>
      </c>
      <c r="C66" s="13" t="s">
        <v>127</v>
      </c>
      <c r="D66" s="13">
        <v>785</v>
      </c>
      <c r="E66" s="14" t="s">
        <v>27</v>
      </c>
      <c r="F66" s="13" t="s">
        <v>49</v>
      </c>
      <c r="G66" s="13" t="s">
        <v>23</v>
      </c>
      <c r="H66" s="13">
        <v>785</v>
      </c>
      <c r="I66" s="14" t="s">
        <v>24</v>
      </c>
    </row>
    <row r="67" spans="1:9" x14ac:dyDescent="0.35">
      <c r="A67" s="33" t="s">
        <v>128</v>
      </c>
      <c r="B67" s="11">
        <v>470</v>
      </c>
      <c r="C67" s="12">
        <v>45864</v>
      </c>
      <c r="D67" s="11"/>
      <c r="E67" s="11" t="s">
        <v>21</v>
      </c>
      <c r="F67" s="13" t="s">
        <v>49</v>
      </c>
      <c r="G67" s="13" t="s">
        <v>50</v>
      </c>
      <c r="H67" s="13">
        <v>470</v>
      </c>
      <c r="I67" s="14" t="s">
        <v>24</v>
      </c>
    </row>
    <row r="68" spans="1:9" x14ac:dyDescent="0.35">
      <c r="A68" s="33" t="s">
        <v>129</v>
      </c>
      <c r="B68" s="11">
        <v>630</v>
      </c>
      <c r="C68" s="12">
        <v>45864</v>
      </c>
      <c r="D68" s="11"/>
      <c r="E68" s="11" t="s">
        <v>21</v>
      </c>
      <c r="F68" s="13" t="s">
        <v>49</v>
      </c>
      <c r="G68" s="13" t="s">
        <v>50</v>
      </c>
      <c r="H68" s="13">
        <v>630</v>
      </c>
      <c r="I68" s="14" t="s">
        <v>24</v>
      </c>
    </row>
    <row r="69" spans="1:9" x14ac:dyDescent="0.35">
      <c r="A69" s="36" t="s">
        <v>130</v>
      </c>
      <c r="B69" s="11">
        <v>1100</v>
      </c>
      <c r="C69" s="12">
        <v>45864</v>
      </c>
      <c r="D69" s="11"/>
      <c r="E69" s="11" t="s">
        <v>21</v>
      </c>
      <c r="F69" s="13" t="s">
        <v>49</v>
      </c>
      <c r="G69" s="13" t="s">
        <v>50</v>
      </c>
      <c r="H69" s="13">
        <v>1100</v>
      </c>
      <c r="I69" s="14" t="s">
        <v>24</v>
      </c>
    </row>
    <row r="70" spans="1:9" x14ac:dyDescent="0.35">
      <c r="A70" s="13" t="s">
        <v>131</v>
      </c>
      <c r="B70" s="14">
        <v>1004</v>
      </c>
      <c r="C70" s="13" t="s">
        <v>132</v>
      </c>
      <c r="D70" s="13">
        <v>1004</v>
      </c>
      <c r="E70" s="14" t="s">
        <v>27</v>
      </c>
      <c r="F70" s="13" t="s">
        <v>133</v>
      </c>
      <c r="G70" s="13" t="s">
        <v>23</v>
      </c>
      <c r="H70" s="13">
        <v>1004</v>
      </c>
      <c r="I70" s="14" t="s">
        <v>24</v>
      </c>
    </row>
    <row r="71" spans="1:9" x14ac:dyDescent="0.35">
      <c r="A71" s="13" t="s">
        <v>134</v>
      </c>
      <c r="B71" s="14">
        <v>534</v>
      </c>
      <c r="C71" s="13" t="s">
        <v>132</v>
      </c>
      <c r="D71" s="29">
        <v>480</v>
      </c>
      <c r="E71" s="14" t="s">
        <v>27</v>
      </c>
      <c r="F71" s="13" t="s">
        <v>133</v>
      </c>
      <c r="G71" s="13" t="s">
        <v>23</v>
      </c>
      <c r="H71" s="13">
        <v>480</v>
      </c>
      <c r="I71" s="14" t="s">
        <v>24</v>
      </c>
    </row>
    <row r="72" spans="1:9" x14ac:dyDescent="0.35">
      <c r="A72" s="13" t="s">
        <v>135</v>
      </c>
      <c r="B72" s="14">
        <v>794</v>
      </c>
      <c r="C72" s="13" t="s">
        <v>132</v>
      </c>
      <c r="D72" s="29">
        <v>700</v>
      </c>
      <c r="E72" s="14" t="s">
        <v>27</v>
      </c>
      <c r="F72" s="13" t="s">
        <v>133</v>
      </c>
      <c r="G72" s="13" t="s">
        <v>23</v>
      </c>
      <c r="H72" s="13">
        <v>700</v>
      </c>
      <c r="I72" s="14" t="s">
        <v>24</v>
      </c>
    </row>
    <row r="73" spans="1:9" x14ac:dyDescent="0.35">
      <c r="A73" s="13" t="s">
        <v>136</v>
      </c>
      <c r="B73" s="14">
        <v>500</v>
      </c>
      <c r="C73" s="13" t="s">
        <v>132</v>
      </c>
      <c r="D73" s="13">
        <v>500</v>
      </c>
      <c r="E73" s="14" t="s">
        <v>27</v>
      </c>
      <c r="F73" s="13" t="s">
        <v>49</v>
      </c>
      <c r="G73" s="13" t="s">
        <v>23</v>
      </c>
      <c r="H73" s="13">
        <v>500</v>
      </c>
      <c r="I73" s="14" t="s">
        <v>24</v>
      </c>
    </row>
    <row r="74" spans="1:9" x14ac:dyDescent="0.35">
      <c r="A74" s="13" t="s">
        <v>137</v>
      </c>
      <c r="B74" s="14">
        <v>3650</v>
      </c>
      <c r="C74" s="13" t="s">
        <v>132</v>
      </c>
      <c r="D74" s="13">
        <v>3650</v>
      </c>
      <c r="E74" s="14" t="s">
        <v>27</v>
      </c>
      <c r="F74" s="13" t="s">
        <v>49</v>
      </c>
      <c r="G74" s="13" t="s">
        <v>23</v>
      </c>
      <c r="H74" s="13">
        <v>3650</v>
      </c>
      <c r="I74" s="14" t="s">
        <v>24</v>
      </c>
    </row>
    <row r="75" spans="1:9" x14ac:dyDescent="0.35">
      <c r="A75" s="13" t="s">
        <v>138</v>
      </c>
      <c r="B75" s="14">
        <v>420</v>
      </c>
      <c r="C75" s="13" t="s">
        <v>132</v>
      </c>
      <c r="D75" s="13">
        <v>420</v>
      </c>
      <c r="E75" s="14" t="s">
        <v>27</v>
      </c>
      <c r="F75" s="13" t="s">
        <v>139</v>
      </c>
      <c r="G75" s="13" t="s">
        <v>23</v>
      </c>
      <c r="H75" s="13">
        <v>420</v>
      </c>
      <c r="I75" s="14" t="s">
        <v>24</v>
      </c>
    </row>
    <row r="76" spans="1:9" x14ac:dyDescent="0.35">
      <c r="A76" s="13" t="s">
        <v>140</v>
      </c>
      <c r="B76" s="14">
        <v>405</v>
      </c>
      <c r="C76" s="13" t="s">
        <v>132</v>
      </c>
      <c r="D76" s="13">
        <v>405</v>
      </c>
      <c r="E76" s="14" t="s">
        <v>27</v>
      </c>
      <c r="F76" s="13" t="s">
        <v>139</v>
      </c>
      <c r="G76" s="13" t="s">
        <v>23</v>
      </c>
      <c r="H76" s="13">
        <v>405</v>
      </c>
      <c r="I76" s="14" t="s">
        <v>24</v>
      </c>
    </row>
    <row r="77" spans="1:9" x14ac:dyDescent="0.35">
      <c r="A77" s="13" t="s">
        <v>141</v>
      </c>
      <c r="B77" s="14">
        <v>3691</v>
      </c>
      <c r="C77" s="13" t="s">
        <v>132</v>
      </c>
      <c r="D77" s="13">
        <v>3691</v>
      </c>
      <c r="E77" s="14" t="s">
        <v>27</v>
      </c>
      <c r="F77" s="13" t="s">
        <v>142</v>
      </c>
      <c r="G77" s="13" t="s">
        <v>23</v>
      </c>
      <c r="H77" s="13">
        <v>3691</v>
      </c>
      <c r="I77" s="14" t="s">
        <v>24</v>
      </c>
    </row>
    <row r="78" spans="1:9" x14ac:dyDescent="0.35">
      <c r="A78" s="13" t="s">
        <v>143</v>
      </c>
      <c r="B78" s="14">
        <v>772</v>
      </c>
      <c r="C78" s="13" t="s">
        <v>132</v>
      </c>
      <c r="D78" s="13">
        <v>772</v>
      </c>
      <c r="E78" s="14" t="s">
        <v>27</v>
      </c>
      <c r="F78" s="13" t="s">
        <v>142</v>
      </c>
      <c r="G78" s="13" t="s">
        <v>23</v>
      </c>
      <c r="H78" s="13">
        <v>772</v>
      </c>
      <c r="I78" s="14" t="s">
        <v>24</v>
      </c>
    </row>
    <row r="79" spans="1:9" x14ac:dyDescent="0.35">
      <c r="A79" s="13" t="s">
        <v>117</v>
      </c>
      <c r="B79" s="14">
        <v>515</v>
      </c>
      <c r="C79" s="13" t="s">
        <v>132</v>
      </c>
      <c r="D79" s="13">
        <v>515</v>
      </c>
      <c r="E79" s="14" t="s">
        <v>27</v>
      </c>
      <c r="F79" s="13" t="s">
        <v>142</v>
      </c>
      <c r="G79" s="13" t="s">
        <v>23</v>
      </c>
      <c r="H79" s="13">
        <v>515</v>
      </c>
      <c r="I79" s="14" t="s">
        <v>24</v>
      </c>
    </row>
    <row r="80" spans="1:9" x14ac:dyDescent="0.35">
      <c r="A80" s="13" t="s">
        <v>144</v>
      </c>
      <c r="B80" s="14">
        <v>2698</v>
      </c>
      <c r="C80" s="13" t="s">
        <v>132</v>
      </c>
      <c r="D80" s="13">
        <v>2698</v>
      </c>
      <c r="E80" s="14" t="s">
        <v>27</v>
      </c>
      <c r="F80" s="13" t="s">
        <v>142</v>
      </c>
      <c r="G80" s="13" t="s">
        <v>23</v>
      </c>
      <c r="H80" s="13">
        <v>2698</v>
      </c>
      <c r="I80" s="14" t="s">
        <v>24</v>
      </c>
    </row>
    <row r="81" spans="1:9" ht="15" thickBot="1" x14ac:dyDescent="0.4"/>
    <row r="82" spans="1:9" ht="16" thickBot="1" x14ac:dyDescent="0.4">
      <c r="A82" s="85">
        <v>45870</v>
      </c>
      <c r="B82" s="86"/>
      <c r="C82" s="86"/>
      <c r="D82" s="86"/>
      <c r="E82" s="86"/>
      <c r="F82" s="86"/>
      <c r="G82" s="6" t="s">
        <v>3</v>
      </c>
      <c r="H82" s="87">
        <f>SUM(H83:H101)</f>
        <v>10174</v>
      </c>
      <c r="I82" s="88"/>
    </row>
    <row r="83" spans="1:9" x14ac:dyDescent="0.35">
      <c r="A83" s="26" t="s">
        <v>145</v>
      </c>
      <c r="B83" s="27">
        <v>450</v>
      </c>
      <c r="C83" s="26" t="s">
        <v>146</v>
      </c>
      <c r="D83" s="26">
        <v>450</v>
      </c>
      <c r="E83" s="27" t="s">
        <v>27</v>
      </c>
      <c r="F83" s="26" t="s">
        <v>142</v>
      </c>
      <c r="G83" s="26" t="s">
        <v>23</v>
      </c>
      <c r="H83" s="26">
        <v>450</v>
      </c>
      <c r="I83" s="27" t="s">
        <v>24</v>
      </c>
    </row>
    <row r="84" spans="1:9" x14ac:dyDescent="0.35">
      <c r="A84" s="13" t="s">
        <v>147</v>
      </c>
      <c r="B84" s="14">
        <v>5256</v>
      </c>
      <c r="C84" s="13" t="s">
        <v>146</v>
      </c>
      <c r="D84" s="13">
        <v>5256</v>
      </c>
      <c r="E84" s="14" t="s">
        <v>27</v>
      </c>
      <c r="F84" s="13" t="s">
        <v>142</v>
      </c>
      <c r="G84" s="13" t="s">
        <v>23</v>
      </c>
      <c r="H84" s="13">
        <v>5256</v>
      </c>
      <c r="I84" s="14" t="s">
        <v>24</v>
      </c>
    </row>
    <row r="85" spans="1:9" x14ac:dyDescent="0.35">
      <c r="A85" s="13" t="s">
        <v>147</v>
      </c>
      <c r="B85" s="14">
        <v>1638</v>
      </c>
      <c r="C85" s="13" t="s">
        <v>146</v>
      </c>
      <c r="D85" s="13">
        <v>1638</v>
      </c>
      <c r="E85" s="14" t="s">
        <v>27</v>
      </c>
      <c r="F85" s="13" t="s">
        <v>142</v>
      </c>
      <c r="G85" s="13" t="s">
        <v>23</v>
      </c>
      <c r="H85" s="13">
        <v>1638</v>
      </c>
      <c r="I85" s="14" t="s">
        <v>24</v>
      </c>
    </row>
    <row r="86" spans="1:9" x14ac:dyDescent="0.35">
      <c r="A86" s="13" t="s">
        <v>148</v>
      </c>
      <c r="B86" s="13">
        <v>835</v>
      </c>
      <c r="C86" s="13" t="s">
        <v>146</v>
      </c>
      <c r="D86" s="13"/>
      <c r="E86" s="13" t="s">
        <v>149</v>
      </c>
      <c r="F86" s="13" t="s">
        <v>150</v>
      </c>
      <c r="G86" s="13" t="s">
        <v>23</v>
      </c>
      <c r="H86" s="13"/>
      <c r="I86" s="13" t="s">
        <v>151</v>
      </c>
    </row>
    <row r="87" spans="1:9" x14ac:dyDescent="0.35">
      <c r="A87" s="13" t="s">
        <v>152</v>
      </c>
      <c r="B87" s="13">
        <v>500</v>
      </c>
      <c r="C87" s="13" t="s">
        <v>146</v>
      </c>
      <c r="D87" s="13"/>
      <c r="E87" s="13" t="s">
        <v>153</v>
      </c>
      <c r="F87" s="13" t="s">
        <v>154</v>
      </c>
      <c r="G87" s="13" t="s">
        <v>23</v>
      </c>
      <c r="H87" s="13"/>
      <c r="I87" s="13" t="s">
        <v>151</v>
      </c>
    </row>
    <row r="88" spans="1:9" x14ac:dyDescent="0.35">
      <c r="A88" s="13" t="s">
        <v>155</v>
      </c>
      <c r="B88" s="13">
        <v>504</v>
      </c>
      <c r="C88" s="13" t="s">
        <v>146</v>
      </c>
      <c r="D88" s="13"/>
      <c r="E88" s="13" t="s">
        <v>149</v>
      </c>
      <c r="F88" s="13" t="s">
        <v>156</v>
      </c>
      <c r="G88" s="13" t="s">
        <v>23</v>
      </c>
      <c r="H88" s="13"/>
      <c r="I88" s="13" t="s">
        <v>151</v>
      </c>
    </row>
    <row r="89" spans="1:9" x14ac:dyDescent="0.35">
      <c r="A89" s="13" t="s">
        <v>157</v>
      </c>
      <c r="B89" s="14">
        <v>688</v>
      </c>
      <c r="C89" s="13" t="s">
        <v>146</v>
      </c>
      <c r="D89" s="29">
        <v>677</v>
      </c>
      <c r="E89" s="14" t="s">
        <v>27</v>
      </c>
      <c r="F89" s="13" t="s">
        <v>158</v>
      </c>
      <c r="G89" s="13" t="s">
        <v>23</v>
      </c>
      <c r="H89" s="13">
        <v>677</v>
      </c>
      <c r="I89" s="14" t="s">
        <v>24</v>
      </c>
    </row>
    <row r="90" spans="1:9" x14ac:dyDescent="0.35">
      <c r="A90" s="13" t="s">
        <v>159</v>
      </c>
      <c r="B90" s="14">
        <v>1160</v>
      </c>
      <c r="C90" s="13" t="s">
        <v>146</v>
      </c>
      <c r="D90" s="13">
        <v>1160</v>
      </c>
      <c r="E90" s="14" t="s">
        <v>27</v>
      </c>
      <c r="F90" s="13" t="s">
        <v>160</v>
      </c>
      <c r="G90" s="13" t="s">
        <v>23</v>
      </c>
      <c r="H90" s="13">
        <v>1160</v>
      </c>
      <c r="I90" s="13" t="s">
        <v>151</v>
      </c>
    </row>
    <row r="91" spans="1:9" x14ac:dyDescent="0.35">
      <c r="A91" s="13" t="s">
        <v>161</v>
      </c>
      <c r="B91" s="14">
        <v>693</v>
      </c>
      <c r="C91" s="13" t="s">
        <v>146</v>
      </c>
      <c r="D91" s="13">
        <v>693</v>
      </c>
      <c r="E91" s="14" t="s">
        <v>27</v>
      </c>
      <c r="F91" s="13" t="s">
        <v>142</v>
      </c>
      <c r="G91" s="13" t="s">
        <v>23</v>
      </c>
      <c r="H91" s="13">
        <v>693</v>
      </c>
      <c r="I91" s="14" t="s">
        <v>24</v>
      </c>
    </row>
    <row r="92" spans="1:9" x14ac:dyDescent="0.35">
      <c r="A92" s="13" t="s">
        <v>162</v>
      </c>
      <c r="B92" s="13">
        <v>3500</v>
      </c>
      <c r="C92" s="13" t="s">
        <v>163</v>
      </c>
      <c r="D92" s="13"/>
      <c r="E92" s="13" t="s">
        <v>149</v>
      </c>
      <c r="F92" s="13" t="s">
        <v>164</v>
      </c>
      <c r="G92" s="13" t="s">
        <v>23</v>
      </c>
      <c r="H92" s="13"/>
      <c r="I92" s="13" t="s">
        <v>151</v>
      </c>
    </row>
    <row r="93" spans="1:9" x14ac:dyDescent="0.35">
      <c r="A93" s="13" t="s">
        <v>165</v>
      </c>
      <c r="B93" s="14">
        <v>300</v>
      </c>
      <c r="C93" s="18">
        <v>45876</v>
      </c>
      <c r="D93" s="13">
        <v>300</v>
      </c>
      <c r="E93" s="13" t="s">
        <v>149</v>
      </c>
      <c r="F93" s="13" t="s">
        <v>49</v>
      </c>
      <c r="G93" s="13" t="s">
        <v>50</v>
      </c>
      <c r="H93" s="13">
        <v>300</v>
      </c>
      <c r="I93" s="14" t="s">
        <v>24</v>
      </c>
    </row>
    <row r="94" spans="1:9" x14ac:dyDescent="0.35">
      <c r="A94" s="20"/>
      <c r="B94" s="20"/>
      <c r="C94" s="20"/>
      <c r="D94" s="13"/>
      <c r="E94" s="20"/>
      <c r="F94" s="20"/>
      <c r="G94" s="20"/>
      <c r="H94" s="13"/>
      <c r="I94" s="20"/>
    </row>
    <row r="95" spans="1:9" x14ac:dyDescent="0.35">
      <c r="A95" s="20"/>
      <c r="B95" s="20"/>
      <c r="C95" s="20"/>
      <c r="D95" s="13"/>
      <c r="E95" s="20"/>
      <c r="F95" s="20"/>
      <c r="G95" s="20"/>
      <c r="H95" s="13"/>
      <c r="I95" s="20"/>
    </row>
    <row r="96" spans="1:9" x14ac:dyDescent="0.35">
      <c r="A96" s="20"/>
      <c r="B96" s="20"/>
      <c r="C96" s="20"/>
      <c r="D96" s="13"/>
      <c r="E96" s="20"/>
      <c r="F96" s="20"/>
      <c r="G96" s="20"/>
      <c r="H96" s="13"/>
      <c r="I96" s="20"/>
    </row>
    <row r="97" spans="1:9" x14ac:dyDescent="0.35">
      <c r="A97" s="20"/>
      <c r="B97" s="20"/>
      <c r="C97" s="20"/>
      <c r="D97" s="13"/>
      <c r="E97" s="20"/>
      <c r="F97" s="20"/>
      <c r="G97" s="20"/>
      <c r="H97" s="13"/>
      <c r="I97" s="20"/>
    </row>
    <row r="98" spans="1:9" x14ac:dyDescent="0.35">
      <c r="A98" s="20"/>
      <c r="B98" s="20"/>
      <c r="C98" s="20"/>
      <c r="D98" s="13"/>
      <c r="E98" s="20"/>
      <c r="F98" s="20"/>
      <c r="G98" s="20"/>
      <c r="H98" s="13"/>
      <c r="I98" s="20"/>
    </row>
    <row r="99" spans="1:9" x14ac:dyDescent="0.35">
      <c r="A99" s="20"/>
      <c r="B99" s="20"/>
      <c r="C99" s="20"/>
      <c r="D99" s="13"/>
      <c r="E99" s="20"/>
      <c r="F99" s="20"/>
      <c r="G99" s="20"/>
      <c r="H99" s="13"/>
      <c r="I99" s="20"/>
    </row>
    <row r="100" spans="1:9" x14ac:dyDescent="0.35">
      <c r="A100" s="20"/>
      <c r="B100" s="20"/>
      <c r="C100" s="20"/>
      <c r="D100" s="13"/>
      <c r="E100" s="20"/>
      <c r="F100" s="20"/>
      <c r="G100" s="20"/>
      <c r="H100" s="13"/>
      <c r="I100" s="20"/>
    </row>
    <row r="101" spans="1:9" x14ac:dyDescent="0.35">
      <c r="A101" s="20"/>
      <c r="B101" s="20"/>
      <c r="C101" s="20"/>
      <c r="D101" s="13"/>
      <c r="E101" s="20"/>
      <c r="F101" s="20"/>
      <c r="G101" s="20"/>
      <c r="H101" s="13"/>
      <c r="I101" s="20"/>
    </row>
    <row r="105" spans="1:9" ht="15" thickBot="1" x14ac:dyDescent="0.4"/>
    <row r="106" spans="1:9" ht="16" thickBot="1" x14ac:dyDescent="0.4">
      <c r="A106" s="97">
        <v>45901</v>
      </c>
      <c r="B106" s="98"/>
      <c r="C106" s="98"/>
      <c r="D106" s="98"/>
      <c r="E106" s="98"/>
      <c r="F106" s="98"/>
      <c r="G106" s="37" t="s">
        <v>3</v>
      </c>
      <c r="H106" s="99">
        <f>SUM(H107:H128)</f>
        <v>0</v>
      </c>
      <c r="I106" s="100"/>
    </row>
    <row r="107" spans="1:9" x14ac:dyDescent="0.35">
      <c r="A107" s="23"/>
      <c r="B107" s="23"/>
      <c r="C107" s="23"/>
      <c r="D107" s="26"/>
      <c r="E107" s="23"/>
      <c r="F107" s="23"/>
      <c r="G107" s="23"/>
      <c r="H107" s="26"/>
      <c r="I107" s="23"/>
    </row>
    <row r="108" spans="1:9" x14ac:dyDescent="0.35">
      <c r="A108" s="20"/>
      <c r="B108" s="20"/>
      <c r="C108" s="20"/>
      <c r="D108" s="13"/>
      <c r="E108" s="20"/>
      <c r="F108" s="20"/>
      <c r="G108" s="20"/>
      <c r="H108" s="13"/>
      <c r="I108" s="20"/>
    </row>
    <row r="109" spans="1:9" x14ac:dyDescent="0.35">
      <c r="A109" s="20"/>
      <c r="B109" s="20"/>
      <c r="C109" s="20"/>
      <c r="D109" s="13"/>
      <c r="E109" s="20"/>
      <c r="F109" s="20"/>
      <c r="G109" s="20"/>
      <c r="H109" s="13"/>
      <c r="I109" s="20"/>
    </row>
    <row r="110" spans="1:9" x14ac:dyDescent="0.35">
      <c r="A110" s="20"/>
      <c r="B110" s="20"/>
      <c r="C110" s="20"/>
      <c r="D110" s="13"/>
      <c r="E110" s="20"/>
      <c r="F110" s="20"/>
      <c r="G110" s="20"/>
      <c r="H110" s="13"/>
      <c r="I110" s="20"/>
    </row>
    <row r="111" spans="1:9" x14ac:dyDescent="0.35">
      <c r="A111" s="20"/>
      <c r="B111" s="20"/>
      <c r="C111" s="20"/>
      <c r="D111" s="13"/>
      <c r="E111" s="20"/>
      <c r="F111" s="20"/>
      <c r="G111" s="20"/>
      <c r="H111" s="13"/>
      <c r="I111" s="20"/>
    </row>
    <row r="112" spans="1:9" x14ac:dyDescent="0.35">
      <c r="A112" s="20"/>
      <c r="B112" s="20"/>
      <c r="C112" s="20"/>
      <c r="D112" s="13"/>
      <c r="E112" s="20"/>
      <c r="F112" s="20"/>
      <c r="G112" s="20"/>
      <c r="H112" s="13"/>
      <c r="I112" s="20"/>
    </row>
    <row r="113" spans="1:9" x14ac:dyDescent="0.35">
      <c r="A113" s="20"/>
      <c r="B113" s="20"/>
      <c r="C113" s="20"/>
      <c r="D113" s="13"/>
      <c r="E113" s="20"/>
      <c r="F113" s="20"/>
      <c r="G113" s="20"/>
      <c r="H113" s="13"/>
      <c r="I113" s="20"/>
    </row>
    <row r="114" spans="1:9" x14ac:dyDescent="0.35">
      <c r="A114" s="20"/>
      <c r="B114" s="20"/>
      <c r="C114" s="20"/>
      <c r="D114" s="13"/>
      <c r="E114" s="20"/>
      <c r="F114" s="20"/>
      <c r="G114" s="20"/>
      <c r="H114" s="13"/>
      <c r="I114" s="20"/>
    </row>
    <row r="115" spans="1:9" x14ac:dyDescent="0.35">
      <c r="A115" s="20"/>
      <c r="B115" s="20"/>
      <c r="C115" s="20"/>
      <c r="D115" s="13"/>
      <c r="E115" s="20"/>
      <c r="F115" s="20"/>
      <c r="G115" s="20"/>
      <c r="H115" s="13"/>
      <c r="I115" s="20"/>
    </row>
    <row r="116" spans="1:9" x14ac:dyDescent="0.35">
      <c r="A116" s="20"/>
      <c r="B116" s="20"/>
      <c r="C116" s="20"/>
      <c r="D116" s="13"/>
      <c r="E116" s="20"/>
      <c r="F116" s="20"/>
      <c r="G116" s="20"/>
      <c r="H116" s="13"/>
      <c r="I116" s="20"/>
    </row>
    <row r="117" spans="1:9" x14ac:dyDescent="0.35">
      <c r="A117" s="20"/>
      <c r="B117" s="20"/>
      <c r="C117" s="20"/>
      <c r="D117" s="13"/>
      <c r="E117" s="20"/>
      <c r="F117" s="20"/>
      <c r="G117" s="20"/>
      <c r="H117" s="13"/>
      <c r="I117" s="20"/>
    </row>
    <row r="118" spans="1:9" x14ac:dyDescent="0.35">
      <c r="A118" s="20"/>
      <c r="B118" s="20"/>
      <c r="C118" s="20"/>
      <c r="D118" s="13"/>
      <c r="E118" s="20"/>
      <c r="F118" s="20"/>
      <c r="G118" s="20"/>
      <c r="H118" s="13"/>
      <c r="I118" s="20"/>
    </row>
    <row r="119" spans="1:9" x14ac:dyDescent="0.35">
      <c r="A119" s="20"/>
      <c r="B119" s="20"/>
      <c r="C119" s="20"/>
      <c r="D119" s="13"/>
      <c r="E119" s="20"/>
      <c r="F119" s="20"/>
      <c r="G119" s="20"/>
      <c r="H119" s="13"/>
      <c r="I119" s="20"/>
    </row>
    <row r="120" spans="1:9" x14ac:dyDescent="0.35">
      <c r="A120" s="20"/>
      <c r="B120" s="20"/>
      <c r="C120" s="20"/>
      <c r="D120" s="13"/>
      <c r="E120" s="20"/>
      <c r="F120" s="20"/>
      <c r="G120" s="20"/>
      <c r="H120" s="13"/>
      <c r="I120" s="20"/>
    </row>
    <row r="121" spans="1:9" x14ac:dyDescent="0.35">
      <c r="A121" s="20"/>
      <c r="B121" s="20"/>
      <c r="C121" s="20"/>
      <c r="D121" s="13"/>
      <c r="E121" s="20"/>
      <c r="F121" s="20"/>
      <c r="G121" s="20"/>
      <c r="H121" s="13"/>
      <c r="I121" s="20"/>
    </row>
    <row r="122" spans="1:9" x14ac:dyDescent="0.35">
      <c r="A122" s="20"/>
      <c r="B122" s="20"/>
      <c r="C122" s="20"/>
      <c r="D122" s="13"/>
      <c r="E122" s="20"/>
      <c r="F122" s="20"/>
      <c r="G122" s="20"/>
      <c r="H122" s="13"/>
      <c r="I122" s="20"/>
    </row>
    <row r="123" spans="1:9" x14ac:dyDescent="0.35">
      <c r="A123" s="20"/>
      <c r="B123" s="20"/>
      <c r="C123" s="20"/>
      <c r="D123" s="13"/>
      <c r="E123" s="20"/>
      <c r="F123" s="20"/>
      <c r="G123" s="20"/>
      <c r="H123" s="13"/>
      <c r="I123" s="20"/>
    </row>
    <row r="124" spans="1:9" x14ac:dyDescent="0.35">
      <c r="A124" s="20"/>
      <c r="B124" s="20"/>
      <c r="C124" s="20"/>
      <c r="D124" s="13"/>
      <c r="E124" s="20"/>
      <c r="F124" s="20"/>
      <c r="G124" s="20"/>
      <c r="H124" s="13"/>
      <c r="I124" s="20"/>
    </row>
    <row r="125" spans="1:9" x14ac:dyDescent="0.35">
      <c r="A125" s="20"/>
      <c r="B125" s="20"/>
      <c r="C125" s="20"/>
      <c r="D125" s="13"/>
      <c r="E125" s="20"/>
      <c r="F125" s="20"/>
      <c r="G125" s="20"/>
      <c r="H125" s="13"/>
      <c r="I125" s="20"/>
    </row>
    <row r="126" spans="1:9" x14ac:dyDescent="0.35">
      <c r="A126" s="20"/>
      <c r="B126" s="20"/>
      <c r="C126" s="20"/>
      <c r="D126" s="13"/>
      <c r="E126" s="20"/>
      <c r="F126" s="20"/>
      <c r="G126" s="20"/>
      <c r="H126" s="13"/>
      <c r="I126" s="20"/>
    </row>
    <row r="127" spans="1:9" x14ac:dyDescent="0.35">
      <c r="A127" s="20"/>
      <c r="B127" s="20"/>
      <c r="C127" s="20"/>
      <c r="D127" s="13"/>
      <c r="E127" s="20"/>
      <c r="F127" s="20"/>
      <c r="G127" s="20"/>
      <c r="H127" s="13"/>
      <c r="I127" s="20"/>
    </row>
    <row r="128" spans="1:9" x14ac:dyDescent="0.35">
      <c r="A128" s="20"/>
      <c r="B128" s="20"/>
      <c r="C128" s="20"/>
      <c r="D128" s="13"/>
      <c r="E128" s="20"/>
      <c r="F128" s="20"/>
      <c r="G128" s="20"/>
      <c r="H128" s="13"/>
      <c r="I128" s="20"/>
    </row>
  </sheetData>
  <mergeCells count="15">
    <mergeCell ref="A106:F106"/>
    <mergeCell ref="H106:I106"/>
    <mergeCell ref="A40:F40"/>
    <mergeCell ref="H40:I40"/>
    <mergeCell ref="A55:F55"/>
    <mergeCell ref="H55:I55"/>
    <mergeCell ref="A82:F82"/>
    <mergeCell ref="H82:I82"/>
    <mergeCell ref="A25:F25"/>
    <mergeCell ref="H25:I25"/>
    <mergeCell ref="L3:O3"/>
    <mergeCell ref="A4:F4"/>
    <mergeCell ref="H4:I4"/>
    <mergeCell ref="M5:N5"/>
    <mergeCell ref="M18:N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8"/>
  <sheetViews>
    <sheetView workbookViewId="0">
      <selection activeCell="J8" sqref="J8"/>
    </sheetView>
  </sheetViews>
  <sheetFormatPr defaultRowHeight="14.5" x14ac:dyDescent="0.35"/>
  <cols>
    <col min="2" max="2" width="39.7265625" bestFit="1" customWidth="1"/>
    <col min="3" max="3" width="8.08984375" bestFit="1" customWidth="1"/>
    <col min="4" max="4" width="10.36328125" bestFit="1" customWidth="1"/>
    <col min="5" max="5" width="37" bestFit="1" customWidth="1"/>
    <col min="6" max="6" width="9.54296875" bestFit="1" customWidth="1"/>
    <col min="7" max="7" width="11.08984375" bestFit="1" customWidth="1"/>
  </cols>
  <sheetData>
    <row r="2" spans="2:7" ht="18.5" x14ac:dyDescent="0.45">
      <c r="B2" s="38" t="s">
        <v>166</v>
      </c>
      <c r="C2" s="38">
        <f>SUM(C4:C1048576)-(SUM(G4:G1048576))</f>
        <v>5039</v>
      </c>
    </row>
    <row r="3" spans="2:7" x14ac:dyDescent="0.35">
      <c r="B3" s="39" t="s">
        <v>167</v>
      </c>
      <c r="C3" s="39" t="s">
        <v>168</v>
      </c>
      <c r="D3" s="39" t="s">
        <v>10</v>
      </c>
      <c r="E3" s="39" t="s">
        <v>13</v>
      </c>
      <c r="F3" s="39" t="s">
        <v>12</v>
      </c>
      <c r="G3" s="39" t="s">
        <v>169</v>
      </c>
    </row>
    <row r="4" spans="2:7" x14ac:dyDescent="0.35">
      <c r="B4" s="20" t="s">
        <v>148</v>
      </c>
      <c r="C4" s="20">
        <v>835</v>
      </c>
      <c r="D4" s="20" t="s">
        <v>146</v>
      </c>
      <c r="E4" s="20" t="s">
        <v>170</v>
      </c>
      <c r="F4" s="20" t="s">
        <v>171</v>
      </c>
      <c r="G4" s="20"/>
    </row>
    <row r="5" spans="2:7" x14ac:dyDescent="0.35">
      <c r="B5" s="20" t="s">
        <v>152</v>
      </c>
      <c r="C5" s="20">
        <v>500</v>
      </c>
      <c r="D5" s="20" t="s">
        <v>146</v>
      </c>
      <c r="E5" s="20" t="s">
        <v>172</v>
      </c>
      <c r="F5" s="20" t="s">
        <v>171</v>
      </c>
      <c r="G5" s="20"/>
    </row>
    <row r="6" spans="2:7" x14ac:dyDescent="0.35">
      <c r="B6" s="20" t="s">
        <v>155</v>
      </c>
      <c r="C6" s="20">
        <v>504</v>
      </c>
      <c r="D6" s="20" t="s">
        <v>146</v>
      </c>
      <c r="E6" s="20" t="s">
        <v>173</v>
      </c>
      <c r="F6" s="20" t="s">
        <v>171</v>
      </c>
      <c r="G6" s="20"/>
    </row>
    <row r="7" spans="2:7" x14ac:dyDescent="0.35">
      <c r="B7" s="20" t="s">
        <v>159</v>
      </c>
      <c r="C7" s="20">
        <v>800</v>
      </c>
      <c r="D7" s="20" t="s">
        <v>146</v>
      </c>
      <c r="E7" s="20" t="s">
        <v>174</v>
      </c>
      <c r="F7" s="20" t="s">
        <v>171</v>
      </c>
      <c r="G7" s="20"/>
    </row>
    <row r="8" spans="2:7" x14ac:dyDescent="0.35">
      <c r="B8" s="20" t="s">
        <v>162</v>
      </c>
      <c r="C8" s="20">
        <v>2400</v>
      </c>
      <c r="D8" s="20" t="s">
        <v>163</v>
      </c>
      <c r="E8" s="20" t="s">
        <v>85</v>
      </c>
      <c r="F8" s="20" t="s">
        <v>171</v>
      </c>
      <c r="G8" s="20"/>
    </row>
    <row r="9" spans="2:7" x14ac:dyDescent="0.35">
      <c r="B9" s="20"/>
      <c r="C9" s="20"/>
      <c r="D9" s="20"/>
      <c r="E9" s="20"/>
      <c r="F9" s="20"/>
      <c r="G9" s="20"/>
    </row>
    <row r="10" spans="2:7" x14ac:dyDescent="0.35">
      <c r="B10" s="20"/>
      <c r="C10" s="20"/>
      <c r="D10" s="20"/>
      <c r="E10" s="20"/>
      <c r="F10" s="20"/>
      <c r="G10" s="20"/>
    </row>
    <row r="11" spans="2:7" x14ac:dyDescent="0.35">
      <c r="B11" s="20"/>
      <c r="C11" s="20"/>
      <c r="D11" s="20"/>
      <c r="E11" s="20"/>
      <c r="F11" s="20"/>
      <c r="G11" s="20"/>
    </row>
    <row r="12" spans="2:7" x14ac:dyDescent="0.35">
      <c r="B12" s="20"/>
      <c r="C12" s="20"/>
      <c r="D12" s="20"/>
      <c r="E12" s="20"/>
      <c r="F12" s="20"/>
      <c r="G12" s="20"/>
    </row>
    <row r="13" spans="2:7" x14ac:dyDescent="0.35">
      <c r="B13" s="20"/>
      <c r="C13" s="20"/>
      <c r="D13" s="20"/>
      <c r="E13" s="20"/>
      <c r="F13" s="20"/>
      <c r="G13" s="20"/>
    </row>
    <row r="14" spans="2:7" x14ac:dyDescent="0.35">
      <c r="B14" s="20"/>
      <c r="C14" s="20"/>
      <c r="D14" s="20"/>
      <c r="E14" s="20"/>
      <c r="F14" s="20"/>
      <c r="G14" s="20"/>
    </row>
    <row r="15" spans="2:7" x14ac:dyDescent="0.35">
      <c r="B15" s="20"/>
      <c r="C15" s="20"/>
      <c r="D15" s="20"/>
      <c r="E15" s="20"/>
      <c r="F15" s="20"/>
      <c r="G15" s="20"/>
    </row>
    <row r="16" spans="2:7" x14ac:dyDescent="0.35">
      <c r="B16" s="20"/>
      <c r="C16" s="20"/>
      <c r="D16" s="20"/>
      <c r="E16" s="20"/>
      <c r="F16" s="20"/>
      <c r="G16" s="20"/>
    </row>
    <row r="17" spans="2:7" x14ac:dyDescent="0.35">
      <c r="B17" s="20"/>
      <c r="C17" s="20"/>
      <c r="D17" s="20"/>
      <c r="E17" s="20"/>
      <c r="F17" s="20"/>
      <c r="G17" s="20"/>
    </row>
    <row r="18" spans="2:7" x14ac:dyDescent="0.35">
      <c r="B18" s="20"/>
      <c r="C18" s="20"/>
      <c r="D18" s="20"/>
      <c r="E18" s="20"/>
      <c r="F18" s="20"/>
      <c r="G18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7"/>
  <sheetViews>
    <sheetView tabSelected="1" zoomScale="86" workbookViewId="0">
      <selection sqref="A1:Q1"/>
    </sheetView>
  </sheetViews>
  <sheetFormatPr defaultRowHeight="14.5" x14ac:dyDescent="0.35"/>
  <cols>
    <col min="1" max="1" width="22.7265625" bestFit="1" customWidth="1"/>
    <col min="2" max="3" width="15.7265625" style="42" customWidth="1"/>
    <col min="4" max="4" width="15.7265625" customWidth="1"/>
    <col min="5" max="5" width="29.6328125" bestFit="1" customWidth="1"/>
    <col min="6" max="7" width="15.7265625" style="42" customWidth="1"/>
    <col min="8" max="8" width="15.7265625" customWidth="1"/>
    <col min="9" max="9" width="29.7265625" style="69" bestFit="1" customWidth="1"/>
    <col min="10" max="10" width="13.54296875" style="72" customWidth="1"/>
    <col min="11" max="11" width="15.7265625" style="72" customWidth="1"/>
    <col min="12" max="12" width="15.7265625" customWidth="1"/>
    <col min="13" max="13" width="37.6328125" style="43" bestFit="1" customWidth="1"/>
    <col min="14" max="14" width="15.7265625" style="42" customWidth="1"/>
    <col min="15" max="15" width="8.90625" style="42" bestFit="1" customWidth="1"/>
    <col min="17" max="17" width="21.453125" style="69" customWidth="1"/>
    <col min="18" max="18" width="15.453125" style="44" customWidth="1"/>
    <col min="19" max="19" width="12.26953125" style="42" customWidth="1"/>
    <col min="20" max="20" width="10" customWidth="1"/>
    <col min="21" max="21" width="34.6328125" style="69" bestFit="1" customWidth="1"/>
    <col min="22" max="22" width="10.08984375" style="70" bestFit="1" customWidth="1"/>
    <col min="23" max="23" width="13.1796875" style="72" customWidth="1"/>
  </cols>
  <sheetData>
    <row r="1" spans="1:24" ht="22.5" x14ac:dyDescent="0.35">
      <c r="A1" s="104" t="s">
        <v>175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40"/>
      <c r="S1" s="41"/>
      <c r="T1" s="42"/>
      <c r="U1" s="43"/>
      <c r="V1" s="44"/>
      <c r="W1" s="42"/>
    </row>
    <row r="2" spans="1:24" s="20" customFormat="1" x14ac:dyDescent="0.35">
      <c r="A2" s="105" t="s">
        <v>176</v>
      </c>
      <c r="B2" s="105"/>
      <c r="C2" s="105"/>
      <c r="D2" s="46"/>
      <c r="E2" s="105" t="s">
        <v>177</v>
      </c>
      <c r="F2" s="105"/>
      <c r="G2" s="105"/>
      <c r="H2" s="46"/>
      <c r="I2" s="105" t="s">
        <v>178</v>
      </c>
      <c r="J2" s="105"/>
      <c r="K2" s="105"/>
      <c r="L2" s="47"/>
      <c r="M2" s="105" t="s">
        <v>179</v>
      </c>
      <c r="N2" s="105"/>
      <c r="O2" s="105"/>
      <c r="P2" s="47"/>
      <c r="Q2" s="105" t="s">
        <v>180</v>
      </c>
      <c r="R2" s="105"/>
      <c r="S2" s="105"/>
      <c r="T2" s="48"/>
      <c r="U2" s="103" t="s">
        <v>181</v>
      </c>
      <c r="V2" s="103"/>
      <c r="W2" s="103"/>
      <c r="X2" s="49"/>
    </row>
    <row r="3" spans="1:24" x14ac:dyDescent="0.35">
      <c r="A3" s="50" t="s">
        <v>167</v>
      </c>
      <c r="B3" s="50" t="s">
        <v>10</v>
      </c>
      <c r="C3" s="50" t="s">
        <v>182</v>
      </c>
      <c r="D3" s="41"/>
      <c r="E3" s="50" t="s">
        <v>167</v>
      </c>
      <c r="F3" s="50" t="s">
        <v>10</v>
      </c>
      <c r="G3" s="50" t="s">
        <v>9</v>
      </c>
      <c r="H3" s="41"/>
      <c r="I3" s="51" t="s">
        <v>167</v>
      </c>
      <c r="J3" s="50" t="s">
        <v>183</v>
      </c>
      <c r="K3" s="50" t="s">
        <v>9</v>
      </c>
      <c r="L3" s="41"/>
      <c r="M3" s="51" t="s">
        <v>184</v>
      </c>
      <c r="N3" s="50" t="s">
        <v>10</v>
      </c>
      <c r="O3" s="50" t="s">
        <v>9</v>
      </c>
      <c r="P3" s="41"/>
      <c r="Q3" s="51" t="s">
        <v>184</v>
      </c>
      <c r="R3" s="52" t="s">
        <v>10</v>
      </c>
      <c r="S3" s="50" t="s">
        <v>9</v>
      </c>
      <c r="T3" s="42"/>
      <c r="U3" s="53" t="s">
        <v>184</v>
      </c>
      <c r="V3" s="54" t="s">
        <v>10</v>
      </c>
      <c r="W3" s="55" t="s">
        <v>9</v>
      </c>
    </row>
    <row r="4" spans="1:24" ht="42.5" x14ac:dyDescent="0.35">
      <c r="A4" s="56" t="s">
        <v>19</v>
      </c>
      <c r="B4" s="52">
        <v>45750</v>
      </c>
      <c r="C4" s="50">
        <v>1198</v>
      </c>
      <c r="D4" s="41"/>
      <c r="E4" s="56" t="s">
        <v>26</v>
      </c>
      <c r="F4" s="52">
        <v>45744</v>
      </c>
      <c r="G4" s="50">
        <v>576</v>
      </c>
      <c r="H4" s="41"/>
      <c r="I4" s="57" t="s">
        <v>185</v>
      </c>
      <c r="J4" s="54">
        <v>45727</v>
      </c>
      <c r="K4" s="55">
        <v>1710</v>
      </c>
      <c r="L4" s="41"/>
      <c r="M4" s="51" t="s">
        <v>186</v>
      </c>
      <c r="N4" s="52">
        <v>45733</v>
      </c>
      <c r="O4" s="50">
        <v>1200</v>
      </c>
      <c r="P4" s="41"/>
      <c r="Q4" s="58" t="s">
        <v>59</v>
      </c>
      <c r="R4" s="52">
        <v>45776</v>
      </c>
      <c r="S4" s="50">
        <v>1590</v>
      </c>
      <c r="T4" s="42"/>
      <c r="U4" s="53" t="s">
        <v>64</v>
      </c>
      <c r="V4" s="54">
        <v>45742</v>
      </c>
      <c r="W4" s="55">
        <v>2400</v>
      </c>
    </row>
    <row r="5" spans="1:24" ht="28" x14ac:dyDescent="0.35">
      <c r="A5" s="59" t="s">
        <v>55</v>
      </c>
      <c r="B5" s="52">
        <v>45776</v>
      </c>
      <c r="C5" s="50">
        <v>1000</v>
      </c>
      <c r="D5" s="41"/>
      <c r="E5" s="56" t="s">
        <v>26</v>
      </c>
      <c r="F5" s="52">
        <v>45750</v>
      </c>
      <c r="G5" s="50">
        <v>2396</v>
      </c>
      <c r="H5" s="41"/>
      <c r="I5" s="51" t="s">
        <v>187</v>
      </c>
      <c r="J5" s="52">
        <v>45733</v>
      </c>
      <c r="K5" s="50">
        <v>285</v>
      </c>
      <c r="L5" s="41"/>
      <c r="M5" s="51" t="s">
        <v>188</v>
      </c>
      <c r="N5" s="52">
        <v>45733</v>
      </c>
      <c r="O5" s="50">
        <v>1875</v>
      </c>
      <c r="P5" s="41"/>
      <c r="Q5" s="60" t="s">
        <v>81</v>
      </c>
      <c r="R5" s="52">
        <v>45804</v>
      </c>
      <c r="S5" s="50">
        <v>1000</v>
      </c>
      <c r="T5" s="42"/>
      <c r="U5" s="53" t="s">
        <v>45</v>
      </c>
      <c r="V5" s="54">
        <v>45758</v>
      </c>
      <c r="W5" s="55">
        <v>3660</v>
      </c>
    </row>
    <row r="6" spans="1:24" ht="28" x14ac:dyDescent="0.35">
      <c r="A6" s="59" t="s">
        <v>62</v>
      </c>
      <c r="B6" s="52">
        <v>45770</v>
      </c>
      <c r="C6" s="50">
        <v>1310</v>
      </c>
      <c r="D6" s="41"/>
      <c r="E6" s="59" t="s">
        <v>37</v>
      </c>
      <c r="F6" s="52">
        <v>45757</v>
      </c>
      <c r="G6" s="50">
        <v>180</v>
      </c>
      <c r="H6" s="41"/>
      <c r="I6" s="51" t="s">
        <v>189</v>
      </c>
      <c r="J6" s="52">
        <v>45733</v>
      </c>
      <c r="K6" s="50">
        <v>3000</v>
      </c>
      <c r="L6" s="41"/>
      <c r="M6" s="51" t="s">
        <v>190</v>
      </c>
      <c r="N6" s="52">
        <v>45727</v>
      </c>
      <c r="O6" s="50">
        <v>1183</v>
      </c>
      <c r="P6" s="41"/>
      <c r="Q6" s="58" t="s">
        <v>136</v>
      </c>
      <c r="R6" s="52">
        <v>45868</v>
      </c>
      <c r="S6" s="50">
        <v>500</v>
      </c>
      <c r="T6" s="42"/>
      <c r="U6" s="61" t="s">
        <v>64</v>
      </c>
      <c r="V6" s="54">
        <v>45773</v>
      </c>
      <c r="W6" s="55">
        <v>3600</v>
      </c>
    </row>
    <row r="7" spans="1:24" x14ac:dyDescent="0.35">
      <c r="A7" s="59" t="s">
        <v>71</v>
      </c>
      <c r="B7" s="52">
        <v>45784</v>
      </c>
      <c r="C7" s="50">
        <v>500</v>
      </c>
      <c r="D7" s="41"/>
      <c r="E7" s="56" t="s">
        <v>41</v>
      </c>
      <c r="F7" s="52">
        <v>45758</v>
      </c>
      <c r="G7" s="50">
        <v>1000</v>
      </c>
      <c r="H7" s="41"/>
      <c r="I7" s="51" t="s">
        <v>191</v>
      </c>
      <c r="J7" s="52">
        <v>45740</v>
      </c>
      <c r="K7" s="50">
        <v>16000</v>
      </c>
      <c r="L7" s="41"/>
      <c r="M7" s="51" t="s">
        <v>192</v>
      </c>
      <c r="N7" s="52">
        <v>45740</v>
      </c>
      <c r="O7" s="50">
        <v>432</v>
      </c>
      <c r="P7" s="41"/>
      <c r="Q7" s="62"/>
      <c r="R7" s="63"/>
      <c r="S7" s="50"/>
      <c r="T7" s="42"/>
      <c r="U7" s="64" t="s">
        <v>73</v>
      </c>
      <c r="V7" s="54">
        <v>45786</v>
      </c>
      <c r="W7" s="55">
        <v>1100</v>
      </c>
    </row>
    <row r="8" spans="1:24" ht="28" x14ac:dyDescent="0.35">
      <c r="A8" s="59" t="s">
        <v>62</v>
      </c>
      <c r="B8" s="52">
        <v>45817</v>
      </c>
      <c r="C8" s="50">
        <v>887</v>
      </c>
      <c r="D8" s="41"/>
      <c r="E8" s="56" t="s">
        <v>26</v>
      </c>
      <c r="F8" s="52">
        <v>45772</v>
      </c>
      <c r="G8" s="50">
        <v>763</v>
      </c>
      <c r="H8" s="41"/>
      <c r="I8" s="51" t="s">
        <v>147</v>
      </c>
      <c r="J8" s="52">
        <v>45744</v>
      </c>
      <c r="K8" s="50">
        <v>2430</v>
      </c>
      <c r="L8" s="41"/>
      <c r="M8" s="51" t="s">
        <v>193</v>
      </c>
      <c r="N8" s="52">
        <v>45750</v>
      </c>
      <c r="O8" s="50">
        <v>1400</v>
      </c>
      <c r="P8" s="41"/>
      <c r="Q8" s="62"/>
      <c r="R8" s="63"/>
      <c r="S8" s="50"/>
      <c r="T8" s="42"/>
      <c r="U8" s="64" t="s">
        <v>194</v>
      </c>
      <c r="V8" s="54">
        <v>45803</v>
      </c>
      <c r="W8" s="55">
        <v>3600</v>
      </c>
    </row>
    <row r="9" spans="1:24" ht="28" x14ac:dyDescent="0.35">
      <c r="A9" s="59" t="s">
        <v>97</v>
      </c>
      <c r="B9" s="52">
        <v>45831</v>
      </c>
      <c r="C9" s="50">
        <v>330</v>
      </c>
      <c r="D9" s="65"/>
      <c r="E9" s="59" t="s">
        <v>66</v>
      </c>
      <c r="F9" s="52">
        <v>45776</v>
      </c>
      <c r="G9" s="50">
        <v>1200</v>
      </c>
      <c r="H9" s="65"/>
      <c r="I9" s="51" t="s">
        <v>195</v>
      </c>
      <c r="J9" s="52">
        <v>45740</v>
      </c>
      <c r="K9" s="50">
        <v>11000</v>
      </c>
      <c r="L9" s="65"/>
      <c r="M9" s="59" t="s">
        <v>74</v>
      </c>
      <c r="N9" s="52">
        <v>45791</v>
      </c>
      <c r="O9" s="50">
        <v>2600</v>
      </c>
      <c r="P9" s="65"/>
      <c r="Q9" s="62"/>
      <c r="R9" s="63"/>
      <c r="S9" s="50"/>
      <c r="U9" s="53" t="s">
        <v>196</v>
      </c>
      <c r="V9" s="54">
        <v>45829</v>
      </c>
      <c r="W9" s="55">
        <v>1200</v>
      </c>
    </row>
    <row r="10" spans="1:24" x14ac:dyDescent="0.35">
      <c r="A10" s="56" t="s">
        <v>100</v>
      </c>
      <c r="B10" s="52">
        <v>45831</v>
      </c>
      <c r="C10" s="50">
        <v>515</v>
      </c>
      <c r="D10" s="65"/>
      <c r="E10" s="59" t="s">
        <v>67</v>
      </c>
      <c r="F10" s="52">
        <v>45776</v>
      </c>
      <c r="G10" s="50">
        <v>937</v>
      </c>
      <c r="H10" s="65"/>
      <c r="I10" s="51" t="s">
        <v>197</v>
      </c>
      <c r="J10" s="52">
        <v>45776</v>
      </c>
      <c r="K10" s="50">
        <v>962</v>
      </c>
      <c r="L10" s="65"/>
      <c r="M10" s="56" t="s">
        <v>110</v>
      </c>
      <c r="N10" s="52">
        <v>45834</v>
      </c>
      <c r="O10" s="50">
        <v>1200</v>
      </c>
      <c r="P10" s="65"/>
      <c r="Q10" s="62"/>
      <c r="R10" s="63"/>
      <c r="S10" s="50"/>
      <c r="U10" s="64" t="s">
        <v>111</v>
      </c>
      <c r="V10" s="54">
        <v>45834</v>
      </c>
      <c r="W10" s="55">
        <v>4240</v>
      </c>
    </row>
    <row r="11" spans="1:24" ht="28" x14ac:dyDescent="0.35">
      <c r="A11" s="59" t="s">
        <v>118</v>
      </c>
      <c r="B11" s="52">
        <v>45839</v>
      </c>
      <c r="C11" s="50">
        <v>188</v>
      </c>
      <c r="D11" s="65"/>
      <c r="E11" s="59" t="s">
        <v>68</v>
      </c>
      <c r="F11" s="52">
        <v>45777</v>
      </c>
      <c r="G11" s="50">
        <v>1493</v>
      </c>
      <c r="H11" s="65"/>
      <c r="I11" s="56" t="s">
        <v>76</v>
      </c>
      <c r="J11" s="52">
        <v>45792</v>
      </c>
      <c r="K11" s="50">
        <v>500</v>
      </c>
      <c r="L11" s="65"/>
      <c r="M11" s="56" t="s">
        <v>112</v>
      </c>
      <c r="N11" s="52">
        <v>45839</v>
      </c>
      <c r="O11" s="50">
        <v>1777</v>
      </c>
      <c r="P11" s="65"/>
      <c r="Q11" s="62"/>
      <c r="R11" s="63"/>
      <c r="S11" s="50"/>
      <c r="U11" s="53" t="s">
        <v>64</v>
      </c>
      <c r="V11" s="54">
        <v>45858</v>
      </c>
      <c r="W11" s="55">
        <v>1800</v>
      </c>
    </row>
    <row r="12" spans="1:24" x14ac:dyDescent="0.35">
      <c r="A12" s="56" t="s">
        <v>128</v>
      </c>
      <c r="B12" s="52">
        <v>45864</v>
      </c>
      <c r="C12" s="50">
        <v>470</v>
      </c>
      <c r="D12" s="65"/>
      <c r="E12" s="56" t="s">
        <v>61</v>
      </c>
      <c r="F12" s="52">
        <v>45770</v>
      </c>
      <c r="G12" s="50">
        <v>2100</v>
      </c>
      <c r="H12" s="65"/>
      <c r="I12" s="56" t="s">
        <v>87</v>
      </c>
      <c r="J12" s="52">
        <v>45803</v>
      </c>
      <c r="K12" s="50">
        <v>986</v>
      </c>
      <c r="L12" s="65"/>
      <c r="M12" s="59" t="s">
        <v>123</v>
      </c>
      <c r="N12" s="52">
        <v>45852</v>
      </c>
      <c r="O12" s="50">
        <v>740</v>
      </c>
      <c r="P12" s="65"/>
      <c r="Q12" s="62"/>
      <c r="R12" s="63"/>
      <c r="S12" s="50"/>
      <c r="U12" s="53" t="s">
        <v>122</v>
      </c>
      <c r="V12" s="54">
        <v>45846</v>
      </c>
      <c r="W12" s="55">
        <v>1200</v>
      </c>
    </row>
    <row r="13" spans="1:24" ht="28" x14ac:dyDescent="0.35">
      <c r="A13" s="56" t="s">
        <v>148</v>
      </c>
      <c r="B13" s="52">
        <v>45874</v>
      </c>
      <c r="C13" s="50">
        <v>835</v>
      </c>
      <c r="D13" s="65"/>
      <c r="E13" s="56" t="s">
        <v>48</v>
      </c>
      <c r="F13" s="52">
        <v>45772</v>
      </c>
      <c r="G13" s="50">
        <v>3769</v>
      </c>
      <c r="H13" s="65"/>
      <c r="I13" s="59" t="s">
        <v>86</v>
      </c>
      <c r="J13" s="52">
        <v>45812</v>
      </c>
      <c r="K13" s="50">
        <v>9251</v>
      </c>
      <c r="L13" s="65"/>
      <c r="M13" s="59" t="s">
        <v>137</v>
      </c>
      <c r="N13" s="52">
        <v>45868</v>
      </c>
      <c r="O13" s="50">
        <v>3650</v>
      </c>
      <c r="P13" s="65"/>
      <c r="Q13" s="66"/>
      <c r="R13" s="67"/>
      <c r="S13" s="68">
        <f>SUM(S4:S12)</f>
        <v>3090</v>
      </c>
      <c r="U13" s="53" t="s">
        <v>130</v>
      </c>
      <c r="V13" s="54">
        <v>45864</v>
      </c>
      <c r="W13" s="55">
        <v>1100</v>
      </c>
    </row>
    <row r="14" spans="1:24" ht="28" x14ac:dyDescent="0.35">
      <c r="A14" s="56" t="s">
        <v>152</v>
      </c>
      <c r="B14" s="52">
        <v>45874</v>
      </c>
      <c r="C14" s="50">
        <v>500</v>
      </c>
      <c r="D14" s="65"/>
      <c r="E14" s="59" t="s">
        <v>68</v>
      </c>
      <c r="F14" s="52">
        <v>45791</v>
      </c>
      <c r="G14" s="50">
        <v>1654</v>
      </c>
      <c r="H14" s="65"/>
      <c r="I14" s="59" t="s">
        <v>90</v>
      </c>
      <c r="J14" s="52">
        <v>45817</v>
      </c>
      <c r="K14" s="50">
        <v>986</v>
      </c>
      <c r="L14" s="65"/>
      <c r="M14" s="59" t="s">
        <v>138</v>
      </c>
      <c r="N14" s="52">
        <v>45868</v>
      </c>
      <c r="O14" s="50">
        <v>420</v>
      </c>
      <c r="P14" s="65"/>
      <c r="Q14" s="66"/>
      <c r="R14" s="67"/>
      <c r="S14" s="41"/>
      <c r="U14" s="64" t="s">
        <v>162</v>
      </c>
      <c r="V14" s="54">
        <v>45881</v>
      </c>
      <c r="W14" s="55">
        <v>3500</v>
      </c>
    </row>
    <row r="15" spans="1:24" ht="18.5" x14ac:dyDescent="0.45">
      <c r="A15" s="56" t="s">
        <v>155</v>
      </c>
      <c r="B15" s="52">
        <v>45874</v>
      </c>
      <c r="C15" s="50">
        <v>504</v>
      </c>
      <c r="D15" s="65"/>
      <c r="E15" s="59" t="s">
        <v>79</v>
      </c>
      <c r="F15" s="52">
        <v>45803</v>
      </c>
      <c r="G15" s="50">
        <v>877</v>
      </c>
      <c r="H15" s="65"/>
      <c r="I15" s="59" t="s">
        <v>91</v>
      </c>
      <c r="J15" s="52">
        <v>45817</v>
      </c>
      <c r="K15" s="50">
        <v>2250</v>
      </c>
      <c r="L15" s="65"/>
      <c r="M15" s="51" t="s">
        <v>121</v>
      </c>
      <c r="N15" s="52">
        <v>45846</v>
      </c>
      <c r="O15" s="50">
        <v>1550</v>
      </c>
      <c r="P15" s="65"/>
      <c r="Q15" s="66"/>
      <c r="R15" s="67"/>
      <c r="S15" s="41"/>
      <c r="W15" s="71">
        <f>SUM(W4:W14)</f>
        <v>27400</v>
      </c>
    </row>
    <row r="16" spans="1:24" ht="17.5" x14ac:dyDescent="0.35">
      <c r="A16" s="65"/>
      <c r="B16" s="41"/>
      <c r="C16" s="68">
        <f>SUM(C4:C15)</f>
        <v>8237</v>
      </c>
      <c r="D16" s="65"/>
      <c r="E16" s="59" t="s">
        <v>80</v>
      </c>
      <c r="F16" s="52">
        <v>45803</v>
      </c>
      <c r="G16" s="50">
        <v>1099</v>
      </c>
      <c r="H16" s="65"/>
      <c r="I16" s="59" t="s">
        <v>92</v>
      </c>
      <c r="J16" s="52">
        <v>45817</v>
      </c>
      <c r="K16" s="50">
        <v>1040</v>
      </c>
      <c r="L16" s="65"/>
      <c r="M16" s="59" t="s">
        <v>145</v>
      </c>
      <c r="N16" s="52">
        <v>45874</v>
      </c>
      <c r="O16" s="50">
        <v>450</v>
      </c>
      <c r="P16" s="65"/>
      <c r="Q16" s="66"/>
      <c r="R16" s="67"/>
      <c r="S16" s="41"/>
    </row>
    <row r="17" spans="1:19" ht="17.5" x14ac:dyDescent="0.35">
      <c r="A17" s="65"/>
      <c r="B17" s="41"/>
      <c r="C17" s="41"/>
      <c r="D17" s="65"/>
      <c r="E17" s="56" t="s">
        <v>83</v>
      </c>
      <c r="F17" s="52">
        <v>45812</v>
      </c>
      <c r="G17" s="50">
        <v>1241</v>
      </c>
      <c r="H17" s="65"/>
      <c r="I17" s="59" t="s">
        <v>88</v>
      </c>
      <c r="J17" s="52">
        <v>45817</v>
      </c>
      <c r="K17" s="50">
        <v>962</v>
      </c>
      <c r="L17" s="65"/>
      <c r="O17" s="68">
        <f>SUM(O4:O16)</f>
        <v>18477</v>
      </c>
      <c r="P17" s="65"/>
      <c r="Q17" s="66"/>
      <c r="R17" s="67"/>
      <c r="S17" s="41"/>
    </row>
    <row r="18" spans="1:19" x14ac:dyDescent="0.35">
      <c r="A18" s="65"/>
      <c r="B18" s="41"/>
      <c r="C18" s="41"/>
      <c r="D18" s="65"/>
      <c r="E18" s="59" t="s">
        <v>102</v>
      </c>
      <c r="F18" s="52">
        <v>45831</v>
      </c>
      <c r="G18" s="50">
        <v>2055.5</v>
      </c>
      <c r="H18" s="65"/>
      <c r="I18" s="51" t="s">
        <v>198</v>
      </c>
      <c r="J18" s="52">
        <v>45839</v>
      </c>
      <c r="K18" s="50">
        <v>2840</v>
      </c>
      <c r="L18" s="65"/>
      <c r="P18" s="65"/>
      <c r="Q18" s="66"/>
      <c r="R18" s="67"/>
      <c r="S18" s="41"/>
    </row>
    <row r="19" spans="1:19" x14ac:dyDescent="0.35">
      <c r="A19" s="65"/>
      <c r="B19" s="41"/>
      <c r="C19" s="41"/>
      <c r="D19" s="65"/>
      <c r="E19" s="59" t="s">
        <v>117</v>
      </c>
      <c r="F19" s="52">
        <v>45839</v>
      </c>
      <c r="G19" s="50">
        <v>1313</v>
      </c>
      <c r="H19" s="65"/>
      <c r="I19" s="56" t="s">
        <v>135</v>
      </c>
      <c r="J19" s="52">
        <v>45868</v>
      </c>
      <c r="K19" s="50">
        <v>794</v>
      </c>
      <c r="L19" s="65"/>
      <c r="P19" s="65"/>
      <c r="Q19" s="66"/>
      <c r="R19" s="67"/>
      <c r="S19" s="41"/>
    </row>
    <row r="20" spans="1:19" x14ac:dyDescent="0.35">
      <c r="A20" s="65"/>
      <c r="B20" s="41"/>
      <c r="C20" s="41"/>
      <c r="D20" s="65"/>
      <c r="E20" s="59" t="s">
        <v>126</v>
      </c>
      <c r="F20" s="52">
        <v>45863</v>
      </c>
      <c r="G20" s="50">
        <v>785</v>
      </c>
      <c r="H20" s="65"/>
      <c r="I20" s="56" t="s">
        <v>131</v>
      </c>
      <c r="J20" s="52">
        <v>45868</v>
      </c>
      <c r="K20" s="50">
        <v>1004</v>
      </c>
      <c r="L20" s="65"/>
      <c r="P20" s="65"/>
      <c r="Q20" s="66"/>
      <c r="R20" s="67"/>
      <c r="S20" s="41"/>
    </row>
    <row r="21" spans="1:19" x14ac:dyDescent="0.35">
      <c r="A21" s="65"/>
      <c r="B21" s="41"/>
      <c r="C21" s="41"/>
      <c r="D21" s="65"/>
      <c r="E21" s="59" t="s">
        <v>141</v>
      </c>
      <c r="F21" s="52">
        <v>45868</v>
      </c>
      <c r="G21" s="50">
        <v>3691</v>
      </c>
      <c r="H21" s="65"/>
      <c r="I21" s="59" t="s">
        <v>134</v>
      </c>
      <c r="J21" s="52">
        <v>45868</v>
      </c>
      <c r="K21" s="50">
        <v>534</v>
      </c>
      <c r="L21" s="65"/>
      <c r="P21" s="65"/>
      <c r="Q21" s="66"/>
      <c r="R21" s="67"/>
      <c r="S21" s="41"/>
    </row>
    <row r="22" spans="1:19" x14ac:dyDescent="0.35">
      <c r="A22" s="65"/>
      <c r="B22" s="41"/>
      <c r="C22" s="41"/>
      <c r="D22" s="65"/>
      <c r="E22" s="59" t="s">
        <v>143</v>
      </c>
      <c r="F22" s="52">
        <v>45868</v>
      </c>
      <c r="G22" s="50">
        <v>772</v>
      </c>
      <c r="H22" s="65"/>
      <c r="I22" s="59" t="s">
        <v>140</v>
      </c>
      <c r="J22" s="52">
        <v>45868</v>
      </c>
      <c r="K22" s="50">
        <v>405</v>
      </c>
      <c r="L22" s="65"/>
      <c r="P22" s="65"/>
      <c r="Q22" s="66"/>
      <c r="R22" s="67"/>
      <c r="S22" s="41"/>
    </row>
    <row r="23" spans="1:19" x14ac:dyDescent="0.35">
      <c r="A23" s="65"/>
      <c r="B23" s="41"/>
      <c r="C23" s="41"/>
      <c r="D23" s="65"/>
      <c r="E23" s="59" t="s">
        <v>117</v>
      </c>
      <c r="F23" s="52">
        <v>45868</v>
      </c>
      <c r="G23" s="50">
        <v>515</v>
      </c>
      <c r="H23" s="65"/>
      <c r="I23" s="59" t="s">
        <v>159</v>
      </c>
      <c r="J23" s="52">
        <v>45874</v>
      </c>
      <c r="K23" s="50">
        <v>1160</v>
      </c>
      <c r="L23" s="65"/>
      <c r="P23" s="65"/>
      <c r="Q23" s="66"/>
      <c r="R23" s="67"/>
      <c r="S23" s="41"/>
    </row>
    <row r="24" spans="1:19" x14ac:dyDescent="0.35">
      <c r="A24" s="65"/>
      <c r="B24" s="41"/>
      <c r="C24" s="41"/>
      <c r="D24" s="65"/>
      <c r="E24" s="59" t="s">
        <v>144</v>
      </c>
      <c r="F24" s="52">
        <v>45868</v>
      </c>
      <c r="G24" s="50">
        <v>2698</v>
      </c>
      <c r="H24" s="65"/>
      <c r="I24" s="73" t="s">
        <v>70</v>
      </c>
      <c r="J24" s="52">
        <v>45784</v>
      </c>
      <c r="K24" s="50">
        <v>3140</v>
      </c>
      <c r="L24" s="65"/>
      <c r="M24" s="74"/>
      <c r="N24" s="41"/>
      <c r="P24" s="65"/>
      <c r="Q24" s="66"/>
      <c r="R24" s="67"/>
      <c r="S24" s="41"/>
    </row>
    <row r="25" spans="1:19" x14ac:dyDescent="0.35">
      <c r="A25" s="65"/>
      <c r="B25" s="41"/>
      <c r="C25" s="41"/>
      <c r="D25" s="65"/>
      <c r="E25" s="59" t="s">
        <v>120</v>
      </c>
      <c r="F25" s="52">
        <v>45846</v>
      </c>
      <c r="G25" s="50">
        <v>1297</v>
      </c>
      <c r="H25" s="65"/>
      <c r="I25" s="75" t="s">
        <v>94</v>
      </c>
      <c r="J25" s="52">
        <v>45827</v>
      </c>
      <c r="K25" s="50">
        <v>3990</v>
      </c>
      <c r="L25" s="65"/>
      <c r="M25" s="74"/>
      <c r="N25" s="41"/>
      <c r="O25" s="41"/>
      <c r="P25" s="65"/>
    </row>
    <row r="26" spans="1:19" x14ac:dyDescent="0.35">
      <c r="A26" s="65"/>
      <c r="B26" s="41"/>
      <c r="C26" s="41"/>
      <c r="D26" s="65"/>
      <c r="E26" s="76" t="s">
        <v>126</v>
      </c>
      <c r="F26" s="52">
        <v>45862</v>
      </c>
      <c r="G26" s="50">
        <v>712</v>
      </c>
      <c r="H26" s="65"/>
      <c r="I26" s="77" t="s">
        <v>33</v>
      </c>
      <c r="J26" s="63" t="s">
        <v>34</v>
      </c>
      <c r="K26" s="78">
        <v>4240</v>
      </c>
      <c r="L26" s="65"/>
      <c r="M26" s="74"/>
      <c r="N26" s="41"/>
      <c r="O26" s="41"/>
      <c r="P26" s="65"/>
    </row>
    <row r="27" spans="1:19" x14ac:dyDescent="0.35">
      <c r="A27" s="65"/>
      <c r="B27" s="41"/>
      <c r="C27" s="41"/>
      <c r="D27" s="65"/>
      <c r="E27" s="56" t="s">
        <v>129</v>
      </c>
      <c r="F27" s="52">
        <v>45864</v>
      </c>
      <c r="G27" s="50">
        <v>630</v>
      </c>
      <c r="H27" s="65"/>
      <c r="I27" s="77" t="s">
        <v>107</v>
      </c>
      <c r="J27" s="63" t="s">
        <v>108</v>
      </c>
      <c r="K27" s="45">
        <v>1200</v>
      </c>
      <c r="L27" s="65"/>
      <c r="P27" s="65"/>
    </row>
    <row r="28" spans="1:19" x14ac:dyDescent="0.35">
      <c r="A28" s="65"/>
      <c r="B28" s="41"/>
      <c r="C28" s="41"/>
      <c r="D28" s="65"/>
      <c r="E28" s="56" t="s">
        <v>157</v>
      </c>
      <c r="F28" s="52">
        <v>45874</v>
      </c>
      <c r="G28" s="50">
        <v>688</v>
      </c>
      <c r="H28" s="65"/>
      <c r="I28" s="59" t="s">
        <v>147</v>
      </c>
      <c r="J28" s="52">
        <v>45874</v>
      </c>
      <c r="K28" s="50">
        <v>5256</v>
      </c>
      <c r="L28" s="65"/>
      <c r="P28" s="65"/>
    </row>
    <row r="29" spans="1:19" x14ac:dyDescent="0.35">
      <c r="A29" s="65"/>
      <c r="B29" s="41"/>
      <c r="C29" s="41"/>
      <c r="D29" s="65"/>
      <c r="E29" s="59" t="s">
        <v>161</v>
      </c>
      <c r="F29" s="52">
        <v>45874</v>
      </c>
      <c r="G29" s="50">
        <v>693</v>
      </c>
      <c r="H29" s="65"/>
      <c r="I29" s="59" t="s">
        <v>147</v>
      </c>
      <c r="J29" s="52">
        <v>45874</v>
      </c>
      <c r="K29" s="50">
        <v>1638</v>
      </c>
      <c r="L29" s="65"/>
      <c r="P29" s="65"/>
    </row>
    <row r="30" spans="1:19" ht="17.5" x14ac:dyDescent="0.35">
      <c r="A30" s="65"/>
      <c r="B30" s="41"/>
      <c r="C30" s="41"/>
      <c r="D30" s="65"/>
      <c r="E30" s="65"/>
      <c r="F30" s="41"/>
      <c r="G30" s="68">
        <f>SUM(G4:G29)</f>
        <v>35134.5</v>
      </c>
      <c r="H30" s="65"/>
      <c r="I30" s="76" t="s">
        <v>199</v>
      </c>
      <c r="J30" s="52">
        <v>45876</v>
      </c>
      <c r="K30" s="50">
        <v>300</v>
      </c>
      <c r="L30" s="65"/>
      <c r="P30" s="65"/>
    </row>
    <row r="31" spans="1:19" ht="17.5" x14ac:dyDescent="0.35">
      <c r="I31" s="66"/>
      <c r="J31" s="79"/>
      <c r="K31" s="80">
        <f>SUM(K4:K30)</f>
        <v>77863</v>
      </c>
    </row>
    <row r="32" spans="1:19" x14ac:dyDescent="0.35">
      <c r="I32" s="66"/>
      <c r="J32" s="79"/>
      <c r="K32" s="79"/>
    </row>
    <row r="33" spans="9:11" x14ac:dyDescent="0.35">
      <c r="I33" s="66"/>
      <c r="J33" s="79"/>
      <c r="K33" s="79"/>
    </row>
    <row r="34" spans="9:11" x14ac:dyDescent="0.35">
      <c r="I34" s="66"/>
      <c r="J34" s="79"/>
      <c r="K34" s="79"/>
    </row>
    <row r="35" spans="9:11" x14ac:dyDescent="0.35">
      <c r="I35" s="66"/>
      <c r="J35" s="79"/>
      <c r="K35" s="79"/>
    </row>
    <row r="36" spans="9:11" x14ac:dyDescent="0.35">
      <c r="I36" s="66"/>
      <c r="J36" s="79"/>
      <c r="K36" s="79"/>
    </row>
    <row r="37" spans="9:11" x14ac:dyDescent="0.35">
      <c r="I37" s="66"/>
      <c r="J37" s="79"/>
      <c r="K37" s="79"/>
    </row>
    <row r="38" spans="9:11" x14ac:dyDescent="0.35">
      <c r="I38" s="66"/>
      <c r="J38" s="79"/>
      <c r="K38" s="79"/>
    </row>
    <row r="39" spans="9:11" x14ac:dyDescent="0.35">
      <c r="I39" s="66"/>
      <c r="J39" s="79"/>
      <c r="K39" s="79"/>
    </row>
    <row r="40" spans="9:11" x14ac:dyDescent="0.35">
      <c r="I40" s="66"/>
      <c r="J40" s="79"/>
      <c r="K40" s="79"/>
    </row>
    <row r="41" spans="9:11" x14ac:dyDescent="0.35">
      <c r="I41" s="66"/>
      <c r="J41" s="79"/>
      <c r="K41" s="79"/>
    </row>
    <row r="42" spans="9:11" x14ac:dyDescent="0.35">
      <c r="I42" s="66"/>
      <c r="J42" s="79"/>
      <c r="K42" s="79"/>
    </row>
    <row r="43" spans="9:11" x14ac:dyDescent="0.35">
      <c r="I43" s="66"/>
      <c r="J43" s="79"/>
      <c r="K43" s="79"/>
    </row>
    <row r="44" spans="9:11" x14ac:dyDescent="0.35">
      <c r="I44" s="66"/>
      <c r="J44" s="79"/>
      <c r="K44" s="79"/>
    </row>
    <row r="45" spans="9:11" x14ac:dyDescent="0.35">
      <c r="I45" s="66"/>
      <c r="J45" s="79"/>
      <c r="K45" s="79"/>
    </row>
    <row r="46" spans="9:11" x14ac:dyDescent="0.35">
      <c r="I46" s="66"/>
      <c r="J46" s="79"/>
      <c r="K46" s="79"/>
    </row>
    <row r="47" spans="9:11" x14ac:dyDescent="0.35">
      <c r="I47" s="66"/>
      <c r="J47" s="79"/>
      <c r="K47" s="79"/>
    </row>
  </sheetData>
  <mergeCells count="7">
    <mergeCell ref="U2:W2"/>
    <mergeCell ref="A1:Q1"/>
    <mergeCell ref="A2:C2"/>
    <mergeCell ref="E2:G2"/>
    <mergeCell ref="I2:K2"/>
    <mergeCell ref="M2:O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Green Voucher &amp; Balance Sheet</vt:lpstr>
      <vt:lpstr>Liabilities</vt:lpstr>
      <vt:lpstr>Contribution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Gaurav Kumar</cp:lastModifiedBy>
  <dcterms:created xsi:type="dcterms:W3CDTF">2025-08-28T10:32:45Z</dcterms:created>
  <dcterms:modified xsi:type="dcterms:W3CDTF">2026-03-30T18:34:43Z</dcterms:modified>
</cp:coreProperties>
</file>